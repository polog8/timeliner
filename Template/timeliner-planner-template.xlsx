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" sheetId="2" state="visible" r:id="rId2"/>
    <sheet name="stages" sheetId="3" state="visible" r:id="rId3"/>
    <sheet name="gates-system" sheetId="4" state="visible" r:id="rId4"/>
    <sheet name="gates-hc" sheetId="5" state="visible" r:id="rId5"/>
    <sheet name="mg-hc" sheetId="6" state="visible" r:id="rId6"/>
    <sheet name="capacity" sheetId="7" state="visible" r:id="rId7"/>
    <sheet name="bas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6B7280"/>
      <sz val="10"/>
    </font>
    <font>
      <name val="Arial"/>
      <b val="1"/>
      <color rgb="001F2937"/>
      <sz val="12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0"/>
    </font>
    <font>
      <name val="Arial"/>
      <color rgb="00B45309"/>
      <sz val="10"/>
    </font>
    <font>
      <name val="Arial"/>
      <b val="1"/>
      <color rgb="001D4ED8"/>
      <sz val="10"/>
    </font>
    <font>
      <name val="Arial"/>
      <b val="1"/>
      <color rgb="006B7280"/>
      <sz val="10"/>
    </font>
    <font>
      <name val="Arial"/>
      <i val="1"/>
      <color rgb="006B728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9DB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2" fontId="8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4" fontId="5" fillId="0" borderId="1" applyAlignment="1" pivotButton="0" quotePrefix="0" xfId="0">
      <alignment horizontal="center"/>
    </xf>
    <xf numFmtId="0" fontId="11" fillId="0" borderId="1" pivotButton="0" quotePrefix="0" xfId="0"/>
    <xf numFmtId="164" fontId="11" fillId="0" borderId="1" pivotButton="0" quotePrefix="0" xfId="0"/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right"/>
    </xf>
    <xf numFmtId="0" fontId="11" fillId="3" borderId="1" pivotButton="0" quotePrefix="0" xfId="0"/>
    <xf numFmtId="164" fontId="11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CFD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Template</author>
  </authors>
  <commentList>
    <comment ref="B1" authorId="0" shapeId="0">
      <text>
        <t>One row per deliverable, from row 2 down.
Amber = parked (no usable dates, skipped by the planner).
Red = the end date precedes the start date.
Green = monetary item (column K = EUR).</t>
      </text>
    </comment>
    <comment ref="C1" authorId="0" shapeId="0">
      <text>
        <t>Deliverables sharing a track are drawn on the same chart row.
Two that overlap in time are flagged as a collision.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Row 1 is data, not a header. Do not insert a title row above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86" customWidth="1" min="4" max="4"/>
    <col width="16" customWidth="1" min="5" max="5"/>
    <col width="16" customWidth="1" min="6" max="6"/>
  </cols>
  <sheetData>
    <row r="2">
      <c r="B2" s="1" t="inlineStr">
        <is>
          <t>Deliverables Gantt Planner - reference workbook</t>
        </is>
      </c>
    </row>
    <row r="3">
      <c r="B3" s="2" t="inlineStr">
        <is>
          <t>Import this file into Google Sheets (File &gt; Import &gt; Upload), then paste the sheet URL into the planner's "Connect" dialog.</t>
        </is>
      </c>
    </row>
    <row r="5">
      <c r="B5" s="3" t="inlineStr">
        <is>
          <t>How to use this file</t>
        </is>
      </c>
    </row>
    <row r="6" ht="30" customHeight="1">
      <c r="B6" s="4" t="inlineStr">
        <is>
          <t>1.</t>
        </is>
      </c>
      <c r="C6" s="5" t="inlineStr">
        <is>
          <t>Keep the tab names exactly as they are: plan, stages, gates-system, gates-hc, mg-hc. They are matched in lowercase and the planner will not find them under any other name.</t>
        </is>
      </c>
    </row>
    <row r="7" ht="30" customHeight="1">
      <c r="B7" s="4" t="inlineStr">
        <is>
          <t>2.</t>
        </is>
      </c>
      <c r="C7" s="5" t="inlineStr">
        <is>
          <t>Replace the sample rows with your own. Nothing else has to be renamed or moved.</t>
        </is>
      </c>
    </row>
    <row r="8" ht="30" customHeight="1">
      <c r="B8" s="4" t="inlineStr">
        <is>
          <t>3.</t>
        </is>
      </c>
      <c r="C8" s="5" t="inlineStr">
        <is>
          <t>Yellow cells are the ones you fill in. This README tab is ignored by the planner - you may delete it once you are comfortable with the format.</t>
        </is>
      </c>
    </row>
    <row r="9" ht="30" customHeight="1">
      <c r="B9" s="4" t="inlineStr">
        <is>
          <t>4.</t>
        </is>
      </c>
      <c r="C9" s="5" t="inlineStr">
        <is>
          <t>Share the Google Sheet with the account running the planner (Editor if you want to drag bars and have the change written back; Viewer is enough for read-only).</t>
        </is>
      </c>
    </row>
    <row r="11">
      <c r="A11" s="6" t="n"/>
      <c r="B11" s="6" t="inlineStr">
        <is>
          <t>Tab</t>
        </is>
      </c>
      <c r="C11" s="6" t="inlineStr">
        <is>
          <t>Header row?</t>
        </is>
      </c>
      <c r="D11" s="6" t="inlineStr">
        <is>
          <t>What the planner reads</t>
        </is>
      </c>
      <c r="E11" s="7" t="n"/>
      <c r="F11" s="8" t="n"/>
    </row>
    <row r="12" ht="28" customHeight="1">
      <c r="B12" s="9" t="inlineStr">
        <is>
          <t>plan</t>
        </is>
      </c>
      <c r="C12" s="10" t="inlineStr">
        <is>
          <t>Yes, row 1</t>
        </is>
      </c>
      <c r="D12" s="11" t="inlineStr">
        <is>
          <t>One row per deliverable, from row 2 down. This is the only mandatory tab.</t>
        </is>
      </c>
      <c r="E12" s="12" t="n"/>
      <c r="F12" s="12" t="n"/>
    </row>
    <row r="13" ht="28" customHeight="1">
      <c r="B13" s="9" t="inlineStr">
        <is>
          <t>stages</t>
        </is>
      </c>
      <c r="C13" s="13" t="inlineStr">
        <is>
          <t>NO</t>
        </is>
      </c>
      <c r="D13" s="11" t="inlineStr">
        <is>
          <t>Column A, from row 1: the stage names in the order they should appear top-to-bottom in the chart. Duplicates are ignored.</t>
        </is>
      </c>
      <c r="E13" s="12" t="n"/>
      <c r="F13" s="12" t="n"/>
    </row>
    <row r="14" ht="28" customHeight="1">
      <c r="B14" s="9" t="inlineStr">
        <is>
          <t>gates-system</t>
        </is>
      </c>
      <c r="C14" s="10" t="inlineStr">
        <is>
          <t>Yes, row 1</t>
        </is>
      </c>
      <c r="D14" s="11" t="inlineStr">
        <is>
          <t>A = gate name, B = date, from row 2. Drawn as a red dashed line.</t>
        </is>
      </c>
      <c r="E14" s="12" t="n"/>
      <c r="F14" s="12" t="n"/>
    </row>
    <row r="15" ht="28" customHeight="1">
      <c r="B15" s="9" t="inlineStr">
        <is>
          <t>gates-hc</t>
        </is>
      </c>
      <c r="C15" s="10" t="inlineStr">
        <is>
          <t>Yes, row 1</t>
        </is>
      </c>
      <c r="D15" s="11" t="inlineStr">
        <is>
          <t>Same shape. Drawn as a purple dashed line with an H/C badge.</t>
        </is>
      </c>
      <c r="E15" s="12" t="n"/>
      <c r="F15" s="12" t="n"/>
    </row>
    <row r="16" ht="28" customHeight="1">
      <c r="B16" s="9" t="inlineStr">
        <is>
          <t>mg-hc</t>
        </is>
      </c>
      <c r="C16" s="10" t="inlineStr">
        <is>
          <t>Yes, row 1</t>
        </is>
      </c>
      <c r="D16" s="11" t="inlineStr">
        <is>
          <t>Same shape. Drawn as an orange dotted line with an H/C badge.</t>
        </is>
      </c>
      <c r="E16" s="12" t="n"/>
      <c r="F16" s="12" t="n"/>
    </row>
    <row r="17" ht="28" customHeight="1">
      <c r="B17" s="9" t="inlineStr">
        <is>
          <t>capacity</t>
        </is>
      </c>
      <c r="C17" s="10" t="inlineStr">
        <is>
          <t>Yes, row 1</t>
        </is>
      </c>
      <c r="D17" s="11" t="inlineStr">
        <is>
          <t>OPTIONAL. A = unit, B = from, C = to, D = FTE. How many people a unit has over a period; rows for one unit add up. Drives the over-capacity warnings and the Capacity view.</t>
        </is>
      </c>
      <c r="E17" s="12" t="n"/>
      <c r="F17" s="12" t="n"/>
    </row>
    <row r="18" ht="28" customHeight="1">
      <c r="B18" s="9" t="inlineStr">
        <is>
          <t>baseline</t>
        </is>
      </c>
      <c r="C18" s="10" t="inlineStr">
        <is>
          <t>Written by the tool</t>
        </is>
      </c>
      <c r="D18" s="11" t="inlineStr">
        <is>
          <t>OPTIONAL. Filled in when you press “Capture baseline”. Freezes the plan so the Drift view can show what moved since.</t>
        </is>
      </c>
      <c r="E18" s="12" t="n"/>
      <c r="F18" s="12" t="n"/>
    </row>
    <row r="20">
      <c r="B20" s="3" t="inlineStr">
        <is>
          <t>Columns of the "plan" tab</t>
        </is>
      </c>
    </row>
    <row r="21">
      <c r="A21" s="6" t="n"/>
      <c r="B21" s="6" t="inlineStr">
        <is>
          <t>Column</t>
        </is>
      </c>
      <c r="C21" s="6" t="inlineStr">
        <is>
          <t>Header</t>
        </is>
      </c>
      <c r="D21" s="6" t="inlineStr">
        <is>
          <t>Meaning</t>
        </is>
      </c>
      <c r="E21" s="7" t="n"/>
      <c r="F21" s="8" t="n"/>
    </row>
    <row r="22" ht="26" customHeight="1">
      <c r="B22" s="9" t="inlineStr">
        <is>
          <t>A</t>
        </is>
      </c>
      <c r="C22" s="14" t="inlineStr">
        <is>
          <t>Ref</t>
        </is>
      </c>
      <c r="D22" s="11" t="inlineStr">
        <is>
          <t>Your own reference. Used as the track ID only when column C is empty; otherwise free text.</t>
        </is>
      </c>
      <c r="E22" s="12" t="n"/>
      <c r="F22" s="12" t="n"/>
    </row>
    <row r="23" ht="26" customHeight="1">
      <c r="B23" s="9" t="inlineStr">
        <is>
          <t>B</t>
        </is>
      </c>
      <c r="C23" s="14" t="inlineStr">
        <is>
          <t>Title</t>
        </is>
      </c>
      <c r="D23" s="11" t="inlineStr">
        <is>
          <t>Shown on the bar. Square brackets are stripped out.</t>
        </is>
      </c>
      <c r="E23" s="12" t="n"/>
      <c r="F23" s="12" t="n"/>
    </row>
    <row r="24" ht="26" customHeight="1">
      <c r="B24" s="9" t="inlineStr">
        <is>
          <t>C</t>
        </is>
      </c>
      <c r="C24" s="14" t="inlineStr">
        <is>
          <t>Track</t>
        </is>
      </c>
      <c r="D24" s="11" t="inlineStr">
        <is>
          <t>THE KEY FIELD. One chart row per distinct value. Deliverables sharing a track stack on the same line, and two that overlap in time are flagged as a collision.</t>
        </is>
      </c>
      <c r="E24" s="12" t="n"/>
      <c r="F24" s="12" t="n"/>
    </row>
    <row r="25" ht="26" customHeight="1">
      <c r="B25" s="9" t="inlineStr">
        <is>
          <t>D</t>
        </is>
      </c>
      <c r="C25" s="14" t="inlineStr">
        <is>
          <t>Stage</t>
        </is>
      </c>
      <c r="D25" s="11" t="inlineStr">
        <is>
          <t>Which band the track belongs to. Fill it on the track's first row only - the other rows inherit it. A track belongs to exactly one stage, so do not spread one track across several stages.</t>
        </is>
      </c>
      <c r="E25" s="12" t="n"/>
      <c r="F25" s="12" t="n"/>
    </row>
    <row r="26" ht="26" customHeight="1">
      <c r="B26" s="9" t="inlineStr">
        <is>
          <t>E</t>
        </is>
      </c>
      <c r="C26" s="14" t="inlineStr">
        <is>
          <t>Amount</t>
        </is>
      </c>
      <c r="D26" s="11" t="inlineStr">
        <is>
          <t>A number. Man-hours when column K is empty, a monetary amount when column K says EUR.</t>
        </is>
      </c>
      <c r="E26" s="12" t="n"/>
      <c r="F26" s="12" t="n"/>
    </row>
    <row r="27" ht="26" customHeight="1">
      <c r="B27" s="9" t="inlineStr">
        <is>
          <t>F</t>
        </is>
      </c>
      <c r="C27" s="14" t="inlineStr">
        <is>
          <t>Start</t>
        </is>
      </c>
      <c r="D27" s="11" t="inlineStr">
        <is>
          <t>A real date. Type N/A (or leave blank) to park a deliverable: the row is then skipped.</t>
        </is>
      </c>
      <c r="E27" s="12" t="n"/>
      <c r="F27" s="12" t="n"/>
    </row>
    <row r="28" ht="26" customHeight="1">
      <c r="B28" s="9" t="inlineStr">
        <is>
          <t>G</t>
        </is>
      </c>
      <c r="C28" s="14" t="inlineStr">
        <is>
          <t>End</t>
        </is>
      </c>
      <c r="D28" s="11" t="inlineStr">
        <is>
          <t>A real date, inclusive. If it is earlier than the start the planner swaps the two.</t>
        </is>
      </c>
      <c r="E28" s="12" t="n"/>
      <c r="F28" s="12" t="n"/>
    </row>
    <row r="29" ht="26" customHeight="1">
      <c r="B29" s="9" t="inlineStr">
        <is>
          <t>H</t>
        </is>
      </c>
      <c r="C29" s="14" t="inlineStr">
        <is>
          <t>Comment</t>
        </is>
      </c>
      <c r="D29" s="11" t="inlineStr">
        <is>
          <t>Free text, shown in the tooltip and in brackets after the title.</t>
        </is>
      </c>
      <c r="E29" s="12" t="n"/>
      <c r="F29" s="12" t="n"/>
    </row>
    <row r="30" ht="26" customHeight="1">
      <c r="B30" s="9" t="inlineStr">
        <is>
          <t>I</t>
        </is>
      </c>
      <c r="C30" s="15" t="inlineStr">
        <is>
          <t>Owner</t>
        </is>
      </c>
      <c r="D30" s="11" t="inlineStr">
        <is>
          <t>Free column, IGNORED by the planner. Yours to use.</t>
        </is>
      </c>
      <c r="E30" s="12" t="n"/>
      <c r="F30" s="12" t="n"/>
    </row>
    <row r="31" ht="26" customHeight="1">
      <c r="B31" s="9" t="inlineStr">
        <is>
          <t>J</t>
        </is>
      </c>
      <c r="C31" s="15" t="inlineStr">
        <is>
          <t>Status</t>
        </is>
      </c>
      <c r="D31" s="11" t="inlineStr">
        <is>
          <t>Free column, IGNORED by the planner. Yours to use.</t>
        </is>
      </c>
      <c r="E31" s="12" t="n"/>
      <c r="F31" s="12" t="n"/>
    </row>
    <row r="32" ht="26" customHeight="1">
      <c r="B32" s="9" t="inlineStr">
        <is>
          <t>K</t>
        </is>
      </c>
      <c r="C32" s="14" t="inlineStr">
        <is>
          <t>Currency</t>
        </is>
      </c>
      <c r="D32" s="11" t="inlineStr">
        <is>
          <t>EUR (or euro / the euro sign) marks a monetary item, drawn in green and totalled separately. Anything else, including blank, means man-hours.</t>
        </is>
      </c>
      <c r="E32" s="12" t="n"/>
      <c r="F32" s="12" t="n"/>
    </row>
    <row r="33" ht="26" customHeight="1">
      <c r="B33" s="9" t="inlineStr">
        <is>
          <t>L</t>
        </is>
      </c>
      <c r="C33" s="14" t="inlineStr">
        <is>
          <t>Unit</t>
        </is>
      </c>
      <c r="D33" s="11" t="inlineStr">
        <is>
          <t>Department or team. Drives the filter chips and the per-unit colour. Blank becomes "Unassigned".</t>
        </is>
      </c>
      <c r="E33" s="12" t="n"/>
      <c r="F33" s="12" t="n"/>
    </row>
    <row r="35">
      <c r="B35" s="3" t="inlineStr">
        <is>
          <t>Rules worth knowing</t>
        </is>
      </c>
    </row>
    <row r="36" ht="26" customHeight="1">
      <c r="B36" s="4" t="inlineStr">
        <is>
          <t>-</t>
        </is>
      </c>
      <c r="C36" s="5" t="inlineStr">
        <is>
          <t>Dates: type them as real dates. The planner also reads dd/mm/yyyy and yyyy-mm-dd text, but real dates avoid any ambiguity.</t>
        </is>
      </c>
    </row>
    <row r="37" ht="26" customHeight="1">
      <c r="B37" s="4" t="inlineStr">
        <is>
          <t>-</t>
        </is>
      </c>
      <c r="C37" s="5" t="inlineStr">
        <is>
          <t>A row is only plotted when BOTH dates are readable. Everything else is skipped and reported in the status bar.</t>
        </is>
      </c>
    </row>
    <row r="38" ht="26" customHeight="1">
      <c r="B38" s="4" t="inlineStr">
        <is>
          <t>-</t>
        </is>
      </c>
      <c r="C38" s="5" t="inlineStr">
        <is>
          <t>Effort is spread evenly over the days of a deliverable, which is how the monthly FTE curve and the yearly summary are built.</t>
        </is>
      </c>
    </row>
    <row r="39" ht="26" customHeight="1">
      <c r="B39" s="4" t="inlineStr">
        <is>
          <t>-</t>
        </is>
      </c>
      <c r="C39" s="5" t="inlineStr">
        <is>
          <t>Conversion used by the tool: 1580 h/year = 1 FTE (131.7 h/month). This is a fixed convention in the code, not a cell you can change here.</t>
        </is>
      </c>
    </row>
    <row r="40" ht="26" customHeight="1">
      <c r="B40" s="4" t="inlineStr">
        <is>
          <t>-</t>
        </is>
      </c>
      <c r="C40" s="5" t="inlineStr">
        <is>
          <t>Columns can be moved if you rename the header: the planner recognises, among others, Title/Titre, Track/ID, Stage/Phase, Amount/Montant, Start/Debut, End/Fin, Currency/Devise, Unit/Departement. Leave the layout as-is and you never have to think about it.</t>
        </is>
      </c>
    </row>
    <row r="41" ht="26" customHeight="1">
      <c r="B41" s="4" t="inlineStr">
        <is>
          <t>-</t>
        </is>
      </c>
      <c r="C41" s="5" t="inlineStr">
        <is>
          <t>Adding extra tabs is safe - only the named tabs are read.</t>
        </is>
      </c>
    </row>
    <row r="42" ht="26" customHeight="1">
      <c r="B42" s="4" t="inlineStr">
        <is>
          <t>-</t>
        </is>
      </c>
      <c r="C42" s="5" t="inlineStr">
        <is>
          <t>The planner can edit the plan tab back: drag a bar sideways to reschedule it, drag it onto another track to move it there, double-click an empty spot on a track to create a deliverable, and use the editor to change the title, track, stage, dates, amount, currency, unit and comment.</t>
        </is>
      </c>
    </row>
    <row r="43" ht="26" customHeight="1">
      <c r="B43" s="4" t="inlineStr">
        <is>
          <t>-</t>
        </is>
      </c>
      <c r="C43" s="5" t="inlineStr">
        <is>
          <t>Removing a deliverable from the chart only blanks its two date cells (they become N/A). The row, its title and its amount stay in the sheet, and setting dates again brings it straight back.</t>
        </is>
      </c>
    </row>
    <row r="45">
      <c r="B45" s="3" t="inlineStr">
        <is>
          <t>Cross-check (recomputed from the plan tab)</t>
        </is>
      </c>
    </row>
    <row r="46">
      <c r="B46" s="16" t="inlineStr">
        <is>
          <t>These cells mirror what the planner should display. If a figure looks wrong, the data is wrong.</t>
        </is>
      </c>
    </row>
    <row r="48">
      <c r="B48" s="17" t="inlineStr">
        <is>
          <t>Deliverables listed</t>
        </is>
      </c>
      <c r="C48" s="12" t="n"/>
      <c r="D48" s="18">
        <f>COUNTA(plan!$B$2:$B$120)</f>
        <v/>
      </c>
    </row>
    <row r="49">
      <c r="B49" s="17" t="inlineStr">
        <is>
          <t>Deliverables plotted</t>
        </is>
      </c>
      <c r="C49" s="12" t="n"/>
      <c r="D49" s="18">
        <f>COUNTIFS(plan!$F$2:$F$120,"&gt;=1",plan!$G$2:$G$120,"&gt;=1")</f>
        <v/>
      </c>
    </row>
    <row r="50">
      <c r="B50" s="17" t="inlineStr">
        <is>
          <t>Rows skipped (no dates)</t>
        </is>
      </c>
      <c r="C50" s="12" t="n"/>
      <c r="D50" s="18">
        <f>D48-D49</f>
        <v/>
      </c>
    </row>
    <row r="51">
      <c r="B51" s="17" t="inlineStr">
        <is>
          <t>Distinct tracks plotted</t>
        </is>
      </c>
      <c r="C51" s="12" t="n"/>
      <c r="D51" s="18">
        <f>SUMPRODUCT((plan!$C$2:$C$120&lt;&gt;"")*ISNUMBER(plan!$F$2:$F$120)*ISNUMBER(plan!$G$2:$G$120)/(COUNTIFS(plan!$C$2:$C$120,plan!$C$2:$C$120&amp;"",plan!$F$2:$F$120,"&gt;=1",plan!$G$2:$G$120,"&gt;=1")+1-(plan!$C$2:$C$120&lt;&gt;"")*ISNUMBER(plan!$F$2:$F$120)*ISNUMBER(plan!$G$2:$G$120)))</f>
        <v/>
      </c>
    </row>
    <row r="52">
      <c r="B52" s="17" t="inlineStr">
        <is>
          <t>Total effort (Mh)</t>
        </is>
      </c>
      <c r="C52" s="12" t="n"/>
      <c r="D52" s="19">
        <f>SUMIFS(plan!$E$2:$E$120,plan!$K$2:$K$120,"&lt;&gt;EUR",plan!$F$2:$F$120,"&gt;=1",plan!$G$2:$G$120,"&gt;=1")</f>
        <v/>
      </c>
    </row>
    <row r="53">
      <c r="B53" s="17" t="inlineStr">
        <is>
          <t>Equivalent FTE-years</t>
        </is>
      </c>
      <c r="C53" s="12" t="n"/>
      <c r="D53" s="20">
        <f>D52/1580</f>
        <v/>
      </c>
    </row>
    <row r="54">
      <c r="B54" s="17" t="inlineStr">
        <is>
          <t>Total budget (EUR)</t>
        </is>
      </c>
      <c r="C54" s="12" t="n"/>
      <c r="D54" s="19">
        <f>SUMIFS(plan!$E$2:$E$120,plan!$K$2:$K$120,"EUR",plan!$F$2:$F$120,"&gt;=1",plan!$G$2:$G$120,"&gt;=1")</f>
        <v/>
      </c>
    </row>
    <row r="55">
      <c r="B55" s="17" t="inlineStr">
        <is>
          <t>Earliest start</t>
        </is>
      </c>
      <c r="C55" s="12" t="n"/>
      <c r="D55" s="21">
        <f>MIN(plan!$F$2:$F$120)</f>
        <v/>
      </c>
    </row>
    <row r="56">
      <c r="B56" s="17" t="inlineStr">
        <is>
          <t>Latest end</t>
        </is>
      </c>
      <c r="C56" s="12" t="n"/>
      <c r="D56" s="21">
        <f>MAX(plan!$G$2:$G$120)</f>
        <v/>
      </c>
    </row>
    <row r="58">
      <c r="B58" s="22" t="inlineStr">
        <is>
          <t>Sample data is illustrative only - a fictitious product-development programme. Replace it entirely.</t>
        </is>
      </c>
    </row>
  </sheetData>
  <mergeCells count="44">
    <mergeCell ref="D11:F11"/>
    <mergeCell ref="D13:F13"/>
    <mergeCell ref="D27:F27"/>
    <mergeCell ref="C39:F39"/>
    <mergeCell ref="C8:F8"/>
    <mergeCell ref="B54:C54"/>
    <mergeCell ref="D32:F32"/>
    <mergeCell ref="C7:F7"/>
    <mergeCell ref="C38:F38"/>
    <mergeCell ref="D17:F17"/>
    <mergeCell ref="B46:F46"/>
    <mergeCell ref="B56:C56"/>
    <mergeCell ref="C37:F37"/>
    <mergeCell ref="D16:F16"/>
    <mergeCell ref="B58:F58"/>
    <mergeCell ref="B52:C52"/>
    <mergeCell ref="D28:F28"/>
    <mergeCell ref="B48:C48"/>
    <mergeCell ref="C6:F6"/>
    <mergeCell ref="D12:F12"/>
    <mergeCell ref="D18:F18"/>
    <mergeCell ref="D30:F30"/>
    <mergeCell ref="D25:F25"/>
    <mergeCell ref="C42:F42"/>
    <mergeCell ref="D15:F15"/>
    <mergeCell ref="D33:F33"/>
    <mergeCell ref="B53:C53"/>
    <mergeCell ref="D24:F24"/>
    <mergeCell ref="D14:F14"/>
    <mergeCell ref="D29:F29"/>
    <mergeCell ref="D23:F23"/>
    <mergeCell ref="D26:F26"/>
    <mergeCell ref="C41:F41"/>
    <mergeCell ref="B49:C49"/>
    <mergeCell ref="C40:F40"/>
    <mergeCell ref="C9:F9"/>
    <mergeCell ref="B55:C55"/>
    <mergeCell ref="D31:F31"/>
    <mergeCell ref="C43:F43"/>
    <mergeCell ref="B51:C51"/>
    <mergeCell ref="D22:F22"/>
    <mergeCell ref="B50:C50"/>
    <mergeCell ref="D21:F21"/>
    <mergeCell ref="C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34" customWidth="1" min="4" max="4"/>
    <col width="11" customWidth="1" min="5" max="5"/>
    <col width="12" customWidth="1" min="6" max="6"/>
    <col width="12" customWidth="1" min="7" max="7"/>
    <col width="42" customWidth="1" min="8" max="8"/>
    <col width="12" customWidth="1" min="9" max="9"/>
    <col width="13" customWidth="1" min="10" max="10"/>
    <col width="11" customWidth="1" min="11" max="11"/>
    <col width="14" customWidth="1" min="12" max="12"/>
  </cols>
  <sheetData>
    <row r="1" ht="24" customHeight="1">
      <c r="A1" s="6" t="inlineStr">
        <is>
          <t>Ref</t>
        </is>
      </c>
      <c r="B1" s="6" t="inlineStr">
        <is>
          <t>Title</t>
        </is>
      </c>
      <c r="C1" s="6" t="inlineStr">
        <is>
          <t>Track</t>
        </is>
      </c>
      <c r="D1" s="6" t="inlineStr">
        <is>
          <t>Stage</t>
        </is>
      </c>
      <c r="E1" s="6" t="inlineStr">
        <is>
          <t>Amount</t>
        </is>
      </c>
      <c r="F1" s="6" t="inlineStr">
        <is>
          <t>Start</t>
        </is>
      </c>
      <c r="G1" s="6" t="inlineStr">
        <is>
          <t>End</t>
        </is>
      </c>
      <c r="H1" s="6" t="inlineStr">
        <is>
          <t>Comment</t>
        </is>
      </c>
      <c r="I1" s="6" t="inlineStr">
        <is>
          <t>Owner</t>
        </is>
      </c>
      <c r="J1" s="6" t="inlineStr">
        <is>
          <t>Status</t>
        </is>
      </c>
      <c r="K1" s="6" t="inlineStr">
        <is>
          <t>Currency</t>
        </is>
      </c>
      <c r="L1" s="6" t="inlineStr">
        <is>
          <t>Unit</t>
        </is>
      </c>
    </row>
    <row r="2">
      <c r="A2" s="23" t="inlineStr">
        <is>
          <t>D-001</t>
        </is>
      </c>
      <c r="B2" s="23" t="inlineStr">
        <is>
          <t>Market &amp; customer requirements</t>
        </is>
      </c>
      <c r="C2" s="24" t="inlineStr">
        <is>
          <t>TRK-01</t>
        </is>
      </c>
      <c r="D2" s="23" t="inlineStr">
        <is>
          <t>Stage 1 - Concept &amp; Requirements</t>
        </is>
      </c>
      <c r="E2" s="25" t="n">
        <v>320</v>
      </c>
      <c r="F2" s="26" t="n">
        <v>46027</v>
      </c>
      <c r="G2" s="26" t="n">
        <v>46080</v>
      </c>
      <c r="H2" s="23" t="inlineStr">
        <is>
          <t>Voice-of-customer workshops</t>
        </is>
      </c>
      <c r="I2" s="23" t="inlineStr">
        <is>
          <t>A. Martin</t>
        </is>
      </c>
      <c r="J2" s="24" t="inlineStr">
        <is>
          <t>Done</t>
        </is>
      </c>
      <c r="K2" s="24" t="n"/>
      <c r="L2" s="23" t="inlineStr">
        <is>
          <t>Program</t>
        </is>
      </c>
    </row>
    <row r="3">
      <c r="A3" s="23" t="inlineStr">
        <is>
          <t>D-002</t>
        </is>
      </c>
      <c r="B3" s="23" t="inlineStr">
        <is>
          <t>System requirements specification</t>
        </is>
      </c>
      <c r="C3" s="24" t="inlineStr">
        <is>
          <t>TRK-01</t>
        </is>
      </c>
      <c r="D3" s="23" t="n"/>
      <c r="E3" s="25" t="n">
        <v>480</v>
      </c>
      <c r="F3" s="26" t="n">
        <v>46083</v>
      </c>
      <c r="G3" s="26" t="n">
        <v>46142</v>
      </c>
      <c r="H3" s="23" t="inlineStr">
        <is>
          <t>Stage left blank: inherited from D-001</t>
        </is>
      </c>
      <c r="I3" s="23" t="inlineStr">
        <is>
          <t>A. Martin</t>
        </is>
      </c>
      <c r="J3" s="24" t="inlineStr">
        <is>
          <t>In progress</t>
        </is>
      </c>
      <c r="K3" s="24" t="n"/>
      <c r="L3" s="23" t="inlineStr">
        <is>
          <t>Systems</t>
        </is>
      </c>
    </row>
    <row r="4">
      <c r="A4" s="23" t="inlineStr">
        <is>
          <t>D-003</t>
        </is>
      </c>
      <c r="B4" s="23" t="inlineStr">
        <is>
          <t>Feasibility &amp; concept trade-off</t>
        </is>
      </c>
      <c r="C4" s="24" t="inlineStr">
        <is>
          <t>TRK-02</t>
        </is>
      </c>
      <c r="D4" s="23" t="inlineStr">
        <is>
          <t>Stage 1 - Concept &amp; Requirements</t>
        </is>
      </c>
      <c r="E4" s="25" t="n">
        <v>260</v>
      </c>
      <c r="F4" s="26" t="n">
        <v>46034</v>
      </c>
      <c r="G4" s="26" t="n">
        <v>46094</v>
      </c>
      <c r="H4" s="23" t="inlineStr">
        <is>
          <t>Three concepts compared</t>
        </is>
      </c>
      <c r="I4" s="23" t="inlineStr">
        <is>
          <t>L. Dubois</t>
        </is>
      </c>
      <c r="J4" s="24" t="inlineStr">
        <is>
          <t>Done</t>
        </is>
      </c>
      <c r="K4" s="24" t="n"/>
      <c r="L4" s="23" t="inlineStr">
        <is>
          <t>Systems</t>
        </is>
      </c>
    </row>
    <row r="5">
      <c r="A5" s="23" t="inlineStr">
        <is>
          <t>D-004</t>
        </is>
      </c>
      <c r="B5" s="23" t="inlineStr">
        <is>
          <t>Regulatory &amp; homologation study</t>
        </is>
      </c>
      <c r="C5" s="24" t="inlineStr">
        <is>
          <t>TRK-03</t>
        </is>
      </c>
      <c r="D5" s="23" t="inlineStr">
        <is>
          <t>Stage 1 - Concept &amp; Requirements</t>
        </is>
      </c>
      <c r="E5" s="25" t="n">
        <v>18000</v>
      </c>
      <c r="F5" s="26" t="n">
        <v>46055</v>
      </c>
      <c r="G5" s="26" t="n">
        <v>46112</v>
      </c>
      <c r="H5" s="23" t="inlineStr">
        <is>
          <t>External consultancy, fixed price</t>
        </is>
      </c>
      <c r="I5" s="23" t="inlineStr">
        <is>
          <t>C. Nguyen</t>
        </is>
      </c>
      <c r="J5" s="24" t="inlineStr">
        <is>
          <t>Done</t>
        </is>
      </c>
      <c r="K5" s="24" t="inlineStr">
        <is>
          <t>EUR</t>
        </is>
      </c>
      <c r="L5" s="23" t="inlineStr">
        <is>
          <t>Quality</t>
        </is>
      </c>
    </row>
    <row r="6">
      <c r="A6" s="23" t="inlineStr">
        <is>
          <t>D-005</t>
        </is>
      </c>
      <c r="B6" s="23" t="inlineStr">
        <is>
          <t>Mechanical architecture &amp; CAD</t>
        </is>
      </c>
      <c r="C6" s="24" t="inlineStr">
        <is>
          <t>TRK-04</t>
        </is>
      </c>
      <c r="D6" s="23" t="inlineStr">
        <is>
          <t>Stage 2 - Design &amp; Architecture</t>
        </is>
      </c>
      <c r="E6" s="25" t="n">
        <v>960</v>
      </c>
      <c r="F6" s="26" t="n">
        <v>46118</v>
      </c>
      <c r="G6" s="26" t="n">
        <v>46234</v>
      </c>
      <c r="H6" s="23" t="n"/>
      <c r="I6" s="23" t="inlineStr">
        <is>
          <t>P. Roy</t>
        </is>
      </c>
      <c r="J6" s="24" t="inlineStr">
        <is>
          <t>In progress</t>
        </is>
      </c>
      <c r="K6" s="24" t="n"/>
      <c r="L6" s="23" t="inlineStr">
        <is>
          <t>Mechanical</t>
        </is>
      </c>
    </row>
    <row r="7">
      <c r="A7" s="23" t="inlineStr">
        <is>
          <t>D-006</t>
        </is>
      </c>
      <c r="B7" s="23" t="inlineStr">
        <is>
          <t>Detailed mechanical drawings</t>
        </is>
      </c>
      <c r="C7" s="24" t="inlineStr">
        <is>
          <t>TRK-04</t>
        </is>
      </c>
      <c r="D7" s="23" t="n"/>
      <c r="E7" s="25" t="n">
        <v>640</v>
      </c>
      <c r="F7" s="26" t="n">
        <v>46237</v>
      </c>
      <c r="G7" s="26" t="n">
        <v>46325</v>
      </c>
      <c r="H7" s="23" t="inlineStr">
        <is>
          <t>Follows D-005 on the same track</t>
        </is>
      </c>
      <c r="I7" s="23" t="inlineStr">
        <is>
          <t>P. Roy</t>
        </is>
      </c>
      <c r="J7" s="24" t="inlineStr">
        <is>
          <t>Not started</t>
        </is>
      </c>
      <c r="K7" s="24" t="n"/>
      <c r="L7" s="23" t="inlineStr">
        <is>
          <t>Mechanical</t>
        </is>
      </c>
    </row>
    <row r="8">
      <c r="A8" s="23" t="inlineStr">
        <is>
          <t>D-007</t>
        </is>
      </c>
      <c r="B8" s="23" t="inlineStr">
        <is>
          <t>Electronics board design</t>
        </is>
      </c>
      <c r="C8" s="24" t="inlineStr">
        <is>
          <t>TRK-05</t>
        </is>
      </c>
      <c r="D8" s="23" t="inlineStr">
        <is>
          <t>Stage 2 - Design &amp; Architecture</t>
        </is>
      </c>
      <c r="E8" s="25" t="n">
        <v>720</v>
      </c>
      <c r="F8" s="26" t="n">
        <v>46118</v>
      </c>
      <c r="G8" s="26" t="n">
        <v>46262</v>
      </c>
      <c r="H8" s="23" t="inlineStr">
        <is>
          <t>Two board revisions planned</t>
        </is>
      </c>
      <c r="I8" s="23" t="inlineStr">
        <is>
          <t>S. Keller</t>
        </is>
      </c>
      <c r="J8" s="24" t="inlineStr">
        <is>
          <t>In progress</t>
        </is>
      </c>
      <c r="K8" s="24" t="n"/>
      <c r="L8" s="23" t="inlineStr">
        <is>
          <t>Electronics</t>
        </is>
      </c>
    </row>
    <row r="9">
      <c r="A9" s="23" t="inlineStr">
        <is>
          <t>D-008</t>
        </is>
      </c>
      <c r="B9" s="23" t="inlineStr">
        <is>
          <t>Prototype PCB manufacturing</t>
        </is>
      </c>
      <c r="C9" s="24" t="inlineStr">
        <is>
          <t>TRK-05</t>
        </is>
      </c>
      <c r="D9" s="23" t="n"/>
      <c r="E9" s="25" t="n">
        <v>45000</v>
      </c>
      <c r="F9" s="26" t="n">
        <v>46266</v>
      </c>
      <c r="G9" s="26" t="n">
        <v>46311</v>
      </c>
      <c r="H9" s="23" t="inlineStr">
        <is>
          <t>Supplier quote Q-2291</t>
        </is>
      </c>
      <c r="I9" s="23" t="inlineStr">
        <is>
          <t>S. Keller</t>
        </is>
      </c>
      <c r="J9" s="24" t="inlineStr">
        <is>
          <t>Not started</t>
        </is>
      </c>
      <c r="K9" s="24" t="inlineStr">
        <is>
          <t>EUR</t>
        </is>
      </c>
      <c r="L9" s="23" t="inlineStr">
        <is>
          <t>Purchasing</t>
        </is>
      </c>
    </row>
    <row r="10">
      <c r="A10" s="23" t="inlineStr">
        <is>
          <t>D-009</t>
        </is>
      </c>
      <c r="B10" s="23" t="inlineStr">
        <is>
          <t>Embedded firmware v1</t>
        </is>
      </c>
      <c r="C10" s="24" t="inlineStr">
        <is>
          <t>TRK-06</t>
        </is>
      </c>
      <c r="D10" s="23" t="inlineStr">
        <is>
          <t>Stage 2 - Design &amp; Architecture</t>
        </is>
      </c>
      <c r="E10" s="25" t="n">
        <v>880</v>
      </c>
      <c r="F10" s="26" t="n">
        <v>46146</v>
      </c>
      <c r="G10" s="26" t="n">
        <v>46295</v>
      </c>
      <c r="H10" s="23" t="n"/>
      <c r="I10" s="23" t="inlineStr">
        <is>
          <t>M. Okafor</t>
        </is>
      </c>
      <c r="J10" s="24" t="inlineStr">
        <is>
          <t>In progress</t>
        </is>
      </c>
      <c r="K10" s="24" t="n"/>
      <c r="L10" s="23" t="inlineStr">
        <is>
          <t>Software</t>
        </is>
      </c>
    </row>
    <row r="11">
      <c r="A11" s="23" t="inlineStr">
        <is>
          <t>D-010</t>
        </is>
      </c>
      <c r="B11" s="23" t="inlineStr">
        <is>
          <t>Diagnostics &amp; test software</t>
        </is>
      </c>
      <c r="C11" s="24" t="inlineStr">
        <is>
          <t>TRK-07</t>
        </is>
      </c>
      <c r="D11" s="23" t="inlineStr">
        <is>
          <t>Stage 2 - Design &amp; Architecture</t>
        </is>
      </c>
      <c r="E11" s="25" t="n">
        <v>400</v>
      </c>
      <c r="F11" s="26" t="n">
        <v>46174</v>
      </c>
      <c r="G11" s="26" t="n">
        <v>46295</v>
      </c>
      <c r="H11" s="23" t="n"/>
      <c r="I11" s="23" t="inlineStr">
        <is>
          <t>M. Okafor</t>
        </is>
      </c>
      <c r="J11" s="24" t="inlineStr">
        <is>
          <t>Not started</t>
        </is>
      </c>
      <c r="K11" s="24" t="n"/>
      <c r="L11" s="23" t="inlineStr">
        <is>
          <t>Software</t>
        </is>
      </c>
    </row>
    <row r="12">
      <c r="A12" s="23" t="inlineStr">
        <is>
          <t>D-011</t>
        </is>
      </c>
      <c r="B12" s="23" t="inlineStr">
        <is>
          <t>Design review documentation pack</t>
        </is>
      </c>
      <c r="C12" s="24" t="inlineStr">
        <is>
          <t>TRK-08</t>
        </is>
      </c>
      <c r="D12" s="23" t="inlineStr">
        <is>
          <t>Stage 2 - Design &amp; Architecture</t>
        </is>
      </c>
      <c r="E12" s="25" t="n">
        <v>0</v>
      </c>
      <c r="F12" s="26" t="n">
        <v>46204</v>
      </c>
      <c r="G12" s="26" t="n">
        <v>46234</v>
      </c>
      <c r="H12" s="23" t="inlineStr">
        <is>
          <t>Zero effort: hidden until the 0-Mh toggle</t>
        </is>
      </c>
      <c r="I12" s="23" t="inlineStr">
        <is>
          <t>C. Nguyen</t>
        </is>
      </c>
      <c r="J12" s="24" t="inlineStr">
        <is>
          <t>Not started</t>
        </is>
      </c>
      <c r="K12" s="24" t="n"/>
      <c r="L12" s="23" t="inlineStr">
        <is>
          <t>Quality</t>
        </is>
      </c>
    </row>
    <row r="13">
      <c r="A13" s="23" t="inlineStr">
        <is>
          <t>D-012</t>
        </is>
      </c>
      <c r="B13" s="23" t="inlineStr">
        <is>
          <t>Tooling specification</t>
        </is>
      </c>
      <c r="C13" s="24" t="inlineStr">
        <is>
          <t>TRK-09</t>
        </is>
      </c>
      <c r="D13" s="23" t="inlineStr">
        <is>
          <t>Stage 3 - Industrialisation</t>
        </is>
      </c>
      <c r="E13" s="25" t="n">
        <v>300</v>
      </c>
      <c r="F13" s="26" t="n">
        <v>46296</v>
      </c>
      <c r="G13" s="26" t="n">
        <v>46374</v>
      </c>
      <c r="H13" s="23" t="n"/>
      <c r="I13" s="23" t="inlineStr">
        <is>
          <t>P. Roy</t>
        </is>
      </c>
      <c r="J13" s="24" t="inlineStr">
        <is>
          <t>Not started</t>
        </is>
      </c>
      <c r="K13" s="24" t="n"/>
      <c r="L13" s="23" t="inlineStr">
        <is>
          <t>Mechanical</t>
        </is>
      </c>
    </row>
    <row r="14">
      <c r="A14" s="23" t="inlineStr">
        <is>
          <t>D-013</t>
        </is>
      </c>
      <c r="B14" s="23" t="inlineStr">
        <is>
          <t>Injection tooling purchase</t>
        </is>
      </c>
      <c r="C14" s="24" t="inlineStr">
        <is>
          <t>TRK-09</t>
        </is>
      </c>
      <c r="D14" s="23" t="n"/>
      <c r="E14" s="25" t="n">
        <v>128000</v>
      </c>
      <c r="F14" s="26" t="n">
        <v>46391</v>
      </c>
      <c r="G14" s="26" t="n">
        <v>46507</v>
      </c>
      <c r="H14" s="23" t="inlineStr">
        <is>
          <t>Long-lead item</t>
        </is>
      </c>
      <c r="I14" s="23" t="inlineStr">
        <is>
          <t>J. Silva</t>
        </is>
      </c>
      <c r="J14" s="24" t="inlineStr">
        <is>
          <t>Not started</t>
        </is>
      </c>
      <c r="K14" s="24" t="inlineStr">
        <is>
          <t>EUR</t>
        </is>
      </c>
      <c r="L14" s="23" t="inlineStr">
        <is>
          <t>Purchasing</t>
        </is>
      </c>
    </row>
    <row r="15">
      <c r="A15" s="23" t="inlineStr">
        <is>
          <t>D-014</t>
        </is>
      </c>
      <c r="B15" s="23" t="inlineStr">
        <is>
          <t>Assembly line concept</t>
        </is>
      </c>
      <c r="C15" s="24" t="inlineStr">
        <is>
          <t>TRK-10</t>
        </is>
      </c>
      <c r="D15" s="23" t="inlineStr">
        <is>
          <t>Stage 3 - Industrialisation</t>
        </is>
      </c>
      <c r="E15" s="25" t="n">
        <v>540</v>
      </c>
      <c r="F15" s="26" t="n">
        <v>46328</v>
      </c>
      <c r="G15" s="26" t="n">
        <v>46444</v>
      </c>
      <c r="H15" s="23" t="n"/>
      <c r="I15" s="23" t="inlineStr">
        <is>
          <t>J. Silva</t>
        </is>
      </c>
      <c r="J15" s="24" t="inlineStr">
        <is>
          <t>Not started</t>
        </is>
      </c>
      <c r="K15" s="24" t="n"/>
      <c r="L15" s="23" t="inlineStr">
        <is>
          <t>Mechanical</t>
        </is>
      </c>
    </row>
    <row r="16">
      <c r="A16" s="23" t="inlineStr">
        <is>
          <t>D-015</t>
        </is>
      </c>
      <c r="B16" s="23" t="inlineStr">
        <is>
          <t>Supplier qualification</t>
        </is>
      </c>
      <c r="C16" s="24" t="inlineStr">
        <is>
          <t>TRK-11</t>
        </is>
      </c>
      <c r="D16" s="23" t="inlineStr">
        <is>
          <t>Stage 3 - Industrialisation</t>
        </is>
      </c>
      <c r="E16" s="25" t="n">
        <v>380</v>
      </c>
      <c r="F16" s="26" t="n">
        <v>46328</v>
      </c>
      <c r="G16" s="26" t="n">
        <v>46477</v>
      </c>
      <c r="H16" s="23" t="inlineStr">
        <is>
          <t>Six suppliers in scope</t>
        </is>
      </c>
      <c r="I16" s="23" t="inlineStr">
        <is>
          <t>J. Silva</t>
        </is>
      </c>
      <c r="J16" s="24" t="inlineStr">
        <is>
          <t>Not started</t>
        </is>
      </c>
      <c r="K16" s="24" t="n"/>
      <c r="L16" s="23" t="inlineStr">
        <is>
          <t>Purchasing</t>
        </is>
      </c>
    </row>
    <row r="17">
      <c r="A17" s="23" t="inlineStr">
        <is>
          <t>D-016</t>
        </is>
      </c>
      <c r="B17" s="23" t="inlineStr">
        <is>
          <t>Firmware v2 - production intent</t>
        </is>
      </c>
      <c r="C17" s="24" t="inlineStr">
        <is>
          <t>TRK-12</t>
        </is>
      </c>
      <c r="D17" s="23" t="inlineStr">
        <is>
          <t>Stage 3 - Industrialisation</t>
        </is>
      </c>
      <c r="E17" s="25" t="n">
        <v>520</v>
      </c>
      <c r="F17" s="26" t="n">
        <v>46328</v>
      </c>
      <c r="G17" s="26" t="n">
        <v>46477</v>
      </c>
      <c r="H17" s="23" t="n"/>
      <c r="I17" s="23" t="inlineStr">
        <is>
          <t>M. Okafor</t>
        </is>
      </c>
      <c r="J17" s="24" t="inlineStr">
        <is>
          <t>Not started</t>
        </is>
      </c>
      <c r="K17" s="24" t="n"/>
      <c r="L17" s="23" t="inlineStr">
        <is>
          <t>Software</t>
        </is>
      </c>
    </row>
    <row r="18">
      <c r="A18" s="23" t="inlineStr">
        <is>
          <t>D-017</t>
        </is>
      </c>
      <c r="B18" s="23" t="inlineStr">
        <is>
          <t>Environmental &amp; EMC test campaign</t>
        </is>
      </c>
      <c r="C18" s="24" t="inlineStr">
        <is>
          <t>TRK-13</t>
        </is>
      </c>
      <c r="D18" s="23" t="inlineStr">
        <is>
          <t>Stage 4 - Validation &amp; Qualification</t>
        </is>
      </c>
      <c r="E18" s="25" t="n">
        <v>620</v>
      </c>
      <c r="F18" s="26" t="n">
        <v>46447</v>
      </c>
      <c r="G18" s="26" t="n">
        <v>46568</v>
      </c>
      <c r="H18" s="23" t="n"/>
      <c r="I18" s="23" t="inlineStr">
        <is>
          <t>C. Nguyen</t>
        </is>
      </c>
      <c r="J18" s="24" t="inlineStr">
        <is>
          <t>Not started</t>
        </is>
      </c>
      <c r="K18" s="24" t="n"/>
      <c r="L18" s="23" t="inlineStr">
        <is>
          <t>Quality</t>
        </is>
      </c>
    </row>
    <row r="19">
      <c r="A19" s="23" t="inlineStr">
        <is>
          <t>D-018</t>
        </is>
      </c>
      <c r="B19" s="23" t="inlineStr">
        <is>
          <t>External EMC laboratory</t>
        </is>
      </c>
      <c r="C19" s="24" t="inlineStr">
        <is>
          <t>TRK-14</t>
        </is>
      </c>
      <c r="D19" s="23" t="inlineStr">
        <is>
          <t>Stage 4 - Validation &amp; Qualification</t>
        </is>
      </c>
      <c r="E19" s="25" t="n">
        <v>34000</v>
      </c>
      <c r="F19" s="26" t="n">
        <v>46478</v>
      </c>
      <c r="G19" s="26" t="n">
        <v>46538</v>
      </c>
      <c r="H19" s="23" t="inlineStr">
        <is>
          <t>Accredited lab, fixed price</t>
        </is>
      </c>
      <c r="I19" s="23" t="inlineStr">
        <is>
          <t>C. Nguyen</t>
        </is>
      </c>
      <c r="J19" s="24" t="inlineStr">
        <is>
          <t>Not started</t>
        </is>
      </c>
      <c r="K19" s="24" t="inlineStr">
        <is>
          <t>EUR</t>
        </is>
      </c>
      <c r="L19" s="23" t="inlineStr">
        <is>
          <t>Quality</t>
        </is>
      </c>
    </row>
    <row r="20">
      <c r="A20" s="23" t="inlineStr">
        <is>
          <t>D-019</t>
        </is>
      </c>
      <c r="B20" s="23" t="inlineStr">
        <is>
          <t>Durability &amp; life testing</t>
        </is>
      </c>
      <c r="C20" s="24" t="inlineStr">
        <is>
          <t>TRK-13</t>
        </is>
      </c>
      <c r="D20" s="23" t="n"/>
      <c r="E20" s="25" t="n">
        <v>480</v>
      </c>
      <c r="F20" s="26" t="n">
        <v>46569</v>
      </c>
      <c r="G20" s="26" t="n">
        <v>46660</v>
      </c>
      <c r="H20" s="23" t="inlineStr">
        <is>
          <t>Follows D-017 on the same track</t>
        </is>
      </c>
      <c r="I20" s="23" t="inlineStr">
        <is>
          <t>C. Nguyen</t>
        </is>
      </c>
      <c r="J20" s="24" t="inlineStr">
        <is>
          <t>Not started</t>
        </is>
      </c>
      <c r="K20" s="24" t="n"/>
      <c r="L20" s="23" t="inlineStr">
        <is>
          <t>Quality</t>
        </is>
      </c>
    </row>
    <row r="21">
      <c r="A21" s="23" t="inlineStr">
        <is>
          <t>D-020</t>
        </is>
      </c>
      <c r="B21" s="23" t="inlineStr">
        <is>
          <t>Software validation &amp; release</t>
        </is>
      </c>
      <c r="C21" s="24" t="inlineStr">
        <is>
          <t>TRK-15</t>
        </is>
      </c>
      <c r="D21" s="23" t="inlineStr">
        <is>
          <t>Stage 4 - Validation &amp; Qualification</t>
        </is>
      </c>
      <c r="E21" s="25" t="n">
        <v>460</v>
      </c>
      <c r="F21" s="26" t="n">
        <v>46478</v>
      </c>
      <c r="G21" s="26" t="n">
        <v>46598</v>
      </c>
      <c r="H21" s="23" t="n"/>
      <c r="I21" s="23" t="inlineStr">
        <is>
          <t>M. Okafor</t>
        </is>
      </c>
      <c r="J21" s="24" t="inlineStr">
        <is>
          <t>Not started</t>
        </is>
      </c>
      <c r="K21" s="24" t="n"/>
      <c r="L21" s="23" t="inlineStr">
        <is>
          <t>Software</t>
        </is>
      </c>
    </row>
    <row r="22">
      <c r="A22" s="23" t="inlineStr">
        <is>
          <t>D-021</t>
        </is>
      </c>
      <c r="B22" s="23" t="inlineStr">
        <is>
          <t>Safety case &amp; certification file</t>
        </is>
      </c>
      <c r="C22" s="24" t="inlineStr">
        <is>
          <t>TRK-16</t>
        </is>
      </c>
      <c r="D22" s="23" t="inlineStr">
        <is>
          <t>Stage 4 - Validation &amp; Qualification</t>
        </is>
      </c>
      <c r="E22" s="25" t="n">
        <v>340</v>
      </c>
      <c r="F22" s="26" t="n">
        <v>46510</v>
      </c>
      <c r="G22" s="26" t="n">
        <v>46630</v>
      </c>
      <c r="H22" s="23" t="n"/>
      <c r="I22" s="23" t="inlineStr">
        <is>
          <t>L. Dubois</t>
        </is>
      </c>
      <c r="J22" s="24" t="inlineStr">
        <is>
          <t>Not started</t>
        </is>
      </c>
      <c r="K22" s="24" t="n"/>
      <c r="L22" s="23" t="inlineStr">
        <is>
          <t>Systems</t>
        </is>
      </c>
    </row>
    <row r="23">
      <c r="A23" s="23" t="inlineStr">
        <is>
          <t>D-022</t>
        </is>
      </c>
      <c r="B23" s="23" t="inlineStr">
        <is>
          <t>Pilot run &amp; process capability</t>
        </is>
      </c>
      <c r="C23" s="24" t="inlineStr">
        <is>
          <t>TRK-17</t>
        </is>
      </c>
      <c r="D23" s="23" t="inlineStr">
        <is>
          <t>Stage 5 - Ramp-up &amp; Closure</t>
        </is>
      </c>
      <c r="E23" s="25" t="n">
        <v>700</v>
      </c>
      <c r="F23" s="26" t="n">
        <v>46631</v>
      </c>
      <c r="G23" s="26" t="n">
        <v>46721</v>
      </c>
      <c r="H23" s="23" t="inlineStr">
        <is>
          <t>200 units built</t>
        </is>
      </c>
      <c r="I23" s="23" t="inlineStr">
        <is>
          <t>J. Silva</t>
        </is>
      </c>
      <c r="J23" s="24" t="inlineStr">
        <is>
          <t>Not started</t>
        </is>
      </c>
      <c r="K23" s="24" t="n"/>
      <c r="L23" s="23" t="inlineStr">
        <is>
          <t>Mechanical</t>
        </is>
      </c>
    </row>
    <row r="24">
      <c r="A24" s="23" t="inlineStr">
        <is>
          <t>D-023</t>
        </is>
      </c>
      <c r="B24" s="23" t="inlineStr">
        <is>
          <t>Production ramp-up support</t>
        </is>
      </c>
      <c r="C24" s="24" t="inlineStr">
        <is>
          <t>TRK-18</t>
        </is>
      </c>
      <c r="D24" s="23" t="inlineStr">
        <is>
          <t>Stage 5 - Ramp-up &amp; Closure</t>
        </is>
      </c>
      <c r="E24" s="25" t="n">
        <v>520</v>
      </c>
      <c r="F24" s="26" t="n">
        <v>46661</v>
      </c>
      <c r="G24" s="26" t="n">
        <v>46752</v>
      </c>
      <c r="H24" s="23" t="n"/>
      <c r="I24" s="23" t="inlineStr">
        <is>
          <t>J. Silva</t>
        </is>
      </c>
      <c r="J24" s="24" t="inlineStr">
        <is>
          <t>Not started</t>
        </is>
      </c>
      <c r="K24" s="24" t="n"/>
      <c r="L24" s="23" t="inlineStr">
        <is>
          <t>Program</t>
        </is>
      </c>
    </row>
    <row r="25">
      <c r="A25" s="23" t="inlineStr">
        <is>
          <t>D-024</t>
        </is>
      </c>
      <c r="B25" s="23" t="inlineStr">
        <is>
          <t>Project closure &amp; lessons learned</t>
        </is>
      </c>
      <c r="C25" s="24" t="inlineStr">
        <is>
          <t>TRK-17</t>
        </is>
      </c>
      <c r="D25" s="23" t="n"/>
      <c r="E25" s="25" t="n">
        <v>120</v>
      </c>
      <c r="F25" s="26" t="n">
        <v>46722</v>
      </c>
      <c r="G25" s="26" t="n">
        <v>46744</v>
      </c>
      <c r="H25" s="23" t="inlineStr">
        <is>
          <t>Follows D-022 on the same track</t>
        </is>
      </c>
      <c r="I25" s="23" t="inlineStr">
        <is>
          <t>A. Martin</t>
        </is>
      </c>
      <c r="J25" s="24" t="inlineStr">
        <is>
          <t>Not started</t>
        </is>
      </c>
      <c r="K25" s="24" t="n"/>
      <c r="L25" s="23" t="inlineStr">
        <is>
          <t>Program</t>
        </is>
      </c>
    </row>
    <row r="26">
      <c r="A26" s="23" t="inlineStr">
        <is>
          <t>D-025</t>
        </is>
      </c>
      <c r="B26" s="23" t="inlineStr">
        <is>
          <t>Spare parts catalogue</t>
        </is>
      </c>
      <c r="C26" s="24" t="inlineStr">
        <is>
          <t>TRK-19</t>
        </is>
      </c>
      <c r="D26" s="23" t="inlineStr">
        <is>
          <t>Stage 5 - Ramp-up &amp; Closure</t>
        </is>
      </c>
      <c r="E26" s="25" t="n">
        <v>0</v>
      </c>
      <c r="F26" s="26" t="n">
        <v>46692</v>
      </c>
      <c r="G26" s="26" t="n">
        <v>46736</v>
      </c>
      <c r="H26" s="23" t="inlineStr">
        <is>
          <t>Zero-effort deliverable</t>
        </is>
      </c>
      <c r="I26" s="23" t="inlineStr">
        <is>
          <t>J. Silva</t>
        </is>
      </c>
      <c r="J26" s="24" t="inlineStr">
        <is>
          <t>Not started</t>
        </is>
      </c>
      <c r="K26" s="24" t="n"/>
      <c r="L26" s="23" t="inlineStr">
        <is>
          <t>Purchasing</t>
        </is>
      </c>
    </row>
    <row r="27">
      <c r="A27" s="23" t="inlineStr">
        <is>
          <t>D-026</t>
        </is>
      </c>
      <c r="B27" s="23" t="inlineStr">
        <is>
          <t>Post-launch marketing kit</t>
        </is>
      </c>
      <c r="C27" s="24" t="inlineStr">
        <is>
          <t>TRK-20</t>
        </is>
      </c>
      <c r="D27" s="23" t="inlineStr">
        <is>
          <t>Stage 5 - Ramp-up &amp; Closure</t>
        </is>
      </c>
      <c r="E27" s="25" t="n">
        <v>150</v>
      </c>
      <c r="F27" s="24" t="inlineStr">
        <is>
          <t>N/A</t>
        </is>
      </c>
      <c r="G27" s="24" t="inlineStr">
        <is>
          <t>N/A</t>
        </is>
      </c>
      <c r="H27" s="23" t="inlineStr">
        <is>
          <t>Dates not fixed: ignored until both are set</t>
        </is>
      </c>
      <c r="I27" s="23" t="inlineStr">
        <is>
          <t>A. Martin</t>
        </is>
      </c>
      <c r="J27" s="24" t="inlineStr">
        <is>
          <t>Not started</t>
        </is>
      </c>
      <c r="K27" s="24" t="n"/>
      <c r="L27" s="23" t="inlineStr">
        <is>
          <t>Program</t>
        </is>
      </c>
    </row>
    <row r="28">
      <c r="A28" s="27" t="n"/>
      <c r="B28" s="27" t="n"/>
      <c r="C28" s="27" t="n"/>
      <c r="D28" s="27" t="n"/>
      <c r="E28" s="28" t="n"/>
      <c r="F28" s="29" t="n"/>
      <c r="G28" s="29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8" t="n"/>
      <c r="F29" s="29" t="n"/>
      <c r="G29" s="29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8" t="n"/>
      <c r="F30" s="29" t="n"/>
      <c r="G30" s="29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8" t="n"/>
      <c r="F31" s="29" t="n"/>
      <c r="G31" s="29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8" t="n"/>
      <c r="F32" s="29" t="n"/>
      <c r="G32" s="29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8" t="n"/>
      <c r="F33" s="29" t="n"/>
      <c r="G33" s="29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8" t="n"/>
      <c r="F34" s="29" t="n"/>
      <c r="G34" s="29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8" t="n"/>
      <c r="F35" s="29" t="n"/>
      <c r="G35" s="29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8" t="n"/>
      <c r="F36" s="29" t="n"/>
      <c r="G36" s="29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8" t="n"/>
      <c r="F37" s="29" t="n"/>
      <c r="G37" s="29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8" t="n"/>
      <c r="F38" s="29" t="n"/>
      <c r="G38" s="29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8" t="n"/>
      <c r="F39" s="29" t="n"/>
      <c r="G39" s="29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8" t="n"/>
      <c r="F40" s="29" t="n"/>
      <c r="G40" s="29" t="n"/>
      <c r="H40" s="27" t="n"/>
      <c r="I40" s="27" t="n"/>
      <c r="J40" s="27" t="n"/>
      <c r="K40" s="27" t="n"/>
      <c r="L40" s="27" t="n"/>
    </row>
    <row r="41">
      <c r="A41" s="27" t="n"/>
      <c r="B41" s="27" t="n"/>
      <c r="C41" s="27" t="n"/>
      <c r="D41" s="27" t="n"/>
      <c r="E41" s="28" t="n"/>
      <c r="F41" s="29" t="n"/>
      <c r="G41" s="29" t="n"/>
      <c r="H41" s="27" t="n"/>
      <c r="I41" s="27" t="n"/>
      <c r="J41" s="27" t="n"/>
      <c r="K41" s="27" t="n"/>
      <c r="L41" s="27" t="n"/>
    </row>
    <row r="42">
      <c r="A42" s="27" t="n"/>
      <c r="B42" s="27" t="n"/>
      <c r="C42" s="27" t="n"/>
      <c r="D42" s="27" t="n"/>
      <c r="E42" s="28" t="n"/>
      <c r="F42" s="29" t="n"/>
      <c r="G42" s="29" t="n"/>
      <c r="H42" s="27" t="n"/>
      <c r="I42" s="27" t="n"/>
      <c r="J42" s="27" t="n"/>
      <c r="K42" s="27" t="n"/>
      <c r="L42" s="27" t="n"/>
    </row>
    <row r="43">
      <c r="A43" s="27" t="n"/>
      <c r="B43" s="27" t="n"/>
      <c r="C43" s="27" t="n"/>
      <c r="D43" s="27" t="n"/>
      <c r="E43" s="28" t="n"/>
      <c r="F43" s="29" t="n"/>
      <c r="G43" s="29" t="n"/>
      <c r="H43" s="27" t="n"/>
      <c r="I43" s="27" t="n"/>
      <c r="J43" s="27" t="n"/>
      <c r="K43" s="27" t="n"/>
      <c r="L43" s="27" t="n"/>
    </row>
    <row r="44">
      <c r="A44" s="27" t="n"/>
      <c r="B44" s="27" t="n"/>
      <c r="C44" s="27" t="n"/>
      <c r="D44" s="27" t="n"/>
      <c r="E44" s="28" t="n"/>
      <c r="F44" s="29" t="n"/>
      <c r="G44" s="29" t="n"/>
      <c r="H44" s="27" t="n"/>
      <c r="I44" s="27" t="n"/>
      <c r="J44" s="27" t="n"/>
      <c r="K44" s="27" t="n"/>
      <c r="L44" s="27" t="n"/>
    </row>
    <row r="45">
      <c r="A45" s="27" t="n"/>
      <c r="B45" s="27" t="n"/>
      <c r="C45" s="27" t="n"/>
      <c r="D45" s="27" t="n"/>
      <c r="E45" s="28" t="n"/>
      <c r="F45" s="29" t="n"/>
      <c r="G45" s="29" t="n"/>
      <c r="H45" s="27" t="n"/>
      <c r="I45" s="27" t="n"/>
      <c r="J45" s="27" t="n"/>
      <c r="K45" s="27" t="n"/>
      <c r="L45" s="27" t="n"/>
    </row>
    <row r="46">
      <c r="A46" s="27" t="n"/>
      <c r="B46" s="27" t="n"/>
      <c r="C46" s="27" t="n"/>
      <c r="D46" s="27" t="n"/>
      <c r="E46" s="28" t="n"/>
      <c r="F46" s="29" t="n"/>
      <c r="G46" s="29" t="n"/>
      <c r="H46" s="27" t="n"/>
      <c r="I46" s="27" t="n"/>
      <c r="J46" s="27" t="n"/>
      <c r="K46" s="27" t="n"/>
      <c r="L46" s="27" t="n"/>
    </row>
    <row r="47">
      <c r="A47" s="27" t="n"/>
      <c r="B47" s="27" t="n"/>
      <c r="C47" s="27" t="n"/>
      <c r="D47" s="27" t="n"/>
      <c r="E47" s="28" t="n"/>
      <c r="F47" s="29" t="n"/>
      <c r="G47" s="29" t="n"/>
      <c r="H47" s="27" t="n"/>
      <c r="I47" s="27" t="n"/>
      <c r="J47" s="27" t="n"/>
      <c r="K47" s="27" t="n"/>
      <c r="L47" s="27" t="n"/>
    </row>
    <row r="48">
      <c r="A48" s="27" t="n"/>
      <c r="B48" s="27" t="n"/>
      <c r="C48" s="27" t="n"/>
      <c r="D48" s="27" t="n"/>
      <c r="E48" s="28" t="n"/>
      <c r="F48" s="29" t="n"/>
      <c r="G48" s="29" t="n"/>
      <c r="H48" s="27" t="n"/>
      <c r="I48" s="27" t="n"/>
      <c r="J48" s="27" t="n"/>
      <c r="K48" s="27" t="n"/>
      <c r="L48" s="27" t="n"/>
    </row>
    <row r="49">
      <c r="A49" s="27" t="n"/>
      <c r="B49" s="27" t="n"/>
      <c r="C49" s="27" t="n"/>
      <c r="D49" s="27" t="n"/>
      <c r="E49" s="28" t="n"/>
      <c r="F49" s="29" t="n"/>
      <c r="G49" s="29" t="n"/>
      <c r="H49" s="27" t="n"/>
      <c r="I49" s="27" t="n"/>
      <c r="J49" s="27" t="n"/>
      <c r="K49" s="27" t="n"/>
      <c r="L49" s="27" t="n"/>
    </row>
    <row r="50">
      <c r="A50" s="27" t="n"/>
      <c r="B50" s="27" t="n"/>
      <c r="C50" s="27" t="n"/>
      <c r="D50" s="27" t="n"/>
      <c r="E50" s="28" t="n"/>
      <c r="F50" s="29" t="n"/>
      <c r="G50" s="29" t="n"/>
      <c r="H50" s="27" t="n"/>
      <c r="I50" s="27" t="n"/>
      <c r="J50" s="27" t="n"/>
      <c r="K50" s="27" t="n"/>
      <c r="L50" s="27" t="n"/>
    </row>
    <row r="51">
      <c r="A51" s="27" t="n"/>
      <c r="B51" s="27" t="n"/>
      <c r="C51" s="27" t="n"/>
      <c r="D51" s="27" t="n"/>
      <c r="E51" s="28" t="n"/>
      <c r="F51" s="29" t="n"/>
      <c r="G51" s="29" t="n"/>
      <c r="H51" s="27" t="n"/>
      <c r="I51" s="27" t="n"/>
      <c r="J51" s="27" t="n"/>
      <c r="K51" s="27" t="n"/>
      <c r="L51" s="27" t="n"/>
    </row>
    <row r="52">
      <c r="A52" s="27" t="n"/>
      <c r="B52" s="27" t="n"/>
      <c r="C52" s="27" t="n"/>
      <c r="D52" s="27" t="n"/>
      <c r="E52" s="28" t="n"/>
      <c r="F52" s="29" t="n"/>
      <c r="G52" s="29" t="n"/>
      <c r="H52" s="27" t="n"/>
      <c r="I52" s="27" t="n"/>
      <c r="J52" s="27" t="n"/>
      <c r="K52" s="27" t="n"/>
      <c r="L52" s="27" t="n"/>
    </row>
    <row r="53">
      <c r="A53" s="27" t="n"/>
      <c r="B53" s="27" t="n"/>
      <c r="C53" s="27" t="n"/>
      <c r="D53" s="27" t="n"/>
      <c r="E53" s="28" t="n"/>
      <c r="F53" s="29" t="n"/>
      <c r="G53" s="29" t="n"/>
      <c r="H53" s="27" t="n"/>
      <c r="I53" s="27" t="n"/>
      <c r="J53" s="27" t="n"/>
      <c r="K53" s="27" t="n"/>
      <c r="L53" s="27" t="n"/>
    </row>
    <row r="54">
      <c r="A54" s="27" t="n"/>
      <c r="B54" s="27" t="n"/>
      <c r="C54" s="27" t="n"/>
      <c r="D54" s="27" t="n"/>
      <c r="E54" s="28" t="n"/>
      <c r="F54" s="29" t="n"/>
      <c r="G54" s="29" t="n"/>
      <c r="H54" s="27" t="n"/>
      <c r="I54" s="27" t="n"/>
      <c r="J54" s="27" t="n"/>
      <c r="K54" s="27" t="n"/>
      <c r="L54" s="27" t="n"/>
    </row>
    <row r="55">
      <c r="A55" s="27" t="n"/>
      <c r="B55" s="27" t="n"/>
      <c r="C55" s="27" t="n"/>
      <c r="D55" s="27" t="n"/>
      <c r="E55" s="28" t="n"/>
      <c r="F55" s="29" t="n"/>
      <c r="G55" s="29" t="n"/>
      <c r="H55" s="27" t="n"/>
      <c r="I55" s="27" t="n"/>
      <c r="J55" s="27" t="n"/>
      <c r="K55" s="27" t="n"/>
      <c r="L55" s="27" t="n"/>
    </row>
    <row r="56">
      <c r="A56" s="27" t="n"/>
      <c r="B56" s="27" t="n"/>
      <c r="C56" s="27" t="n"/>
      <c r="D56" s="27" t="n"/>
      <c r="E56" s="28" t="n"/>
      <c r="F56" s="29" t="n"/>
      <c r="G56" s="29" t="n"/>
      <c r="H56" s="27" t="n"/>
      <c r="I56" s="27" t="n"/>
      <c r="J56" s="27" t="n"/>
      <c r="K56" s="27" t="n"/>
      <c r="L56" s="27" t="n"/>
    </row>
    <row r="57">
      <c r="A57" s="27" t="n"/>
      <c r="B57" s="27" t="n"/>
      <c r="C57" s="27" t="n"/>
      <c r="D57" s="27" t="n"/>
      <c r="E57" s="28" t="n"/>
      <c r="F57" s="29" t="n"/>
      <c r="G57" s="29" t="n"/>
      <c r="H57" s="27" t="n"/>
      <c r="I57" s="27" t="n"/>
      <c r="J57" s="27" t="n"/>
      <c r="K57" s="27" t="n"/>
      <c r="L57" s="27" t="n"/>
    </row>
    <row r="58">
      <c r="A58" s="27" t="n"/>
      <c r="B58" s="27" t="n"/>
      <c r="C58" s="27" t="n"/>
      <c r="D58" s="27" t="n"/>
      <c r="E58" s="28" t="n"/>
      <c r="F58" s="29" t="n"/>
      <c r="G58" s="29" t="n"/>
      <c r="H58" s="27" t="n"/>
      <c r="I58" s="27" t="n"/>
      <c r="J58" s="27" t="n"/>
      <c r="K58" s="27" t="n"/>
      <c r="L58" s="27" t="n"/>
    </row>
    <row r="59">
      <c r="A59" s="27" t="n"/>
      <c r="B59" s="27" t="n"/>
      <c r="C59" s="27" t="n"/>
      <c r="D59" s="27" t="n"/>
      <c r="E59" s="28" t="n"/>
      <c r="F59" s="29" t="n"/>
      <c r="G59" s="29" t="n"/>
      <c r="H59" s="27" t="n"/>
      <c r="I59" s="27" t="n"/>
      <c r="J59" s="27" t="n"/>
      <c r="K59" s="27" t="n"/>
      <c r="L59" s="27" t="n"/>
    </row>
    <row r="60">
      <c r="A60" s="27" t="n"/>
      <c r="B60" s="27" t="n"/>
      <c r="C60" s="27" t="n"/>
      <c r="D60" s="27" t="n"/>
      <c r="E60" s="28" t="n"/>
      <c r="F60" s="29" t="n"/>
      <c r="G60" s="29" t="n"/>
      <c r="H60" s="27" t="n"/>
      <c r="I60" s="27" t="n"/>
      <c r="J60" s="27" t="n"/>
      <c r="K60" s="27" t="n"/>
      <c r="L60" s="27" t="n"/>
    </row>
    <row r="61">
      <c r="A61" s="27" t="n"/>
      <c r="B61" s="27" t="n"/>
      <c r="C61" s="27" t="n"/>
      <c r="D61" s="27" t="n"/>
      <c r="E61" s="28" t="n"/>
      <c r="F61" s="29" t="n"/>
      <c r="G61" s="29" t="n"/>
      <c r="H61" s="27" t="n"/>
      <c r="I61" s="27" t="n"/>
      <c r="J61" s="27" t="n"/>
      <c r="K61" s="27" t="n"/>
      <c r="L61" s="27" t="n"/>
    </row>
    <row r="62">
      <c r="A62" s="27" t="n"/>
      <c r="B62" s="27" t="n"/>
      <c r="C62" s="27" t="n"/>
      <c r="D62" s="27" t="n"/>
      <c r="E62" s="28" t="n"/>
      <c r="F62" s="29" t="n"/>
      <c r="G62" s="29" t="n"/>
      <c r="H62" s="27" t="n"/>
      <c r="I62" s="27" t="n"/>
      <c r="J62" s="27" t="n"/>
      <c r="K62" s="27" t="n"/>
      <c r="L62" s="27" t="n"/>
    </row>
    <row r="63">
      <c r="A63" s="27" t="n"/>
      <c r="B63" s="27" t="n"/>
      <c r="C63" s="27" t="n"/>
      <c r="D63" s="27" t="n"/>
      <c r="E63" s="28" t="n"/>
      <c r="F63" s="29" t="n"/>
      <c r="G63" s="29" t="n"/>
      <c r="H63" s="27" t="n"/>
      <c r="I63" s="27" t="n"/>
      <c r="J63" s="27" t="n"/>
      <c r="K63" s="27" t="n"/>
      <c r="L63" s="27" t="n"/>
    </row>
    <row r="64">
      <c r="A64" s="27" t="n"/>
      <c r="B64" s="27" t="n"/>
      <c r="C64" s="27" t="n"/>
      <c r="D64" s="27" t="n"/>
      <c r="E64" s="28" t="n"/>
      <c r="F64" s="29" t="n"/>
      <c r="G64" s="29" t="n"/>
      <c r="H64" s="27" t="n"/>
      <c r="I64" s="27" t="n"/>
      <c r="J64" s="27" t="n"/>
      <c r="K64" s="27" t="n"/>
      <c r="L64" s="27" t="n"/>
    </row>
    <row r="65">
      <c r="A65" s="27" t="n"/>
      <c r="B65" s="27" t="n"/>
      <c r="C65" s="27" t="n"/>
      <c r="D65" s="27" t="n"/>
      <c r="E65" s="28" t="n"/>
      <c r="F65" s="29" t="n"/>
      <c r="G65" s="29" t="n"/>
      <c r="H65" s="27" t="n"/>
      <c r="I65" s="27" t="n"/>
      <c r="J65" s="27" t="n"/>
      <c r="K65" s="27" t="n"/>
      <c r="L65" s="27" t="n"/>
    </row>
    <row r="66">
      <c r="A66" s="27" t="n"/>
      <c r="B66" s="27" t="n"/>
      <c r="C66" s="27" t="n"/>
      <c r="D66" s="27" t="n"/>
      <c r="E66" s="28" t="n"/>
      <c r="F66" s="29" t="n"/>
      <c r="G66" s="29" t="n"/>
      <c r="H66" s="27" t="n"/>
      <c r="I66" s="27" t="n"/>
      <c r="J66" s="27" t="n"/>
      <c r="K66" s="27" t="n"/>
      <c r="L66" s="27" t="n"/>
    </row>
    <row r="67">
      <c r="A67" s="27" t="n"/>
      <c r="B67" s="27" t="n"/>
      <c r="C67" s="27" t="n"/>
      <c r="D67" s="27" t="n"/>
      <c r="E67" s="28" t="n"/>
      <c r="F67" s="29" t="n"/>
      <c r="G67" s="29" t="n"/>
      <c r="H67" s="27" t="n"/>
      <c r="I67" s="27" t="n"/>
      <c r="J67" s="27" t="n"/>
      <c r="K67" s="27" t="n"/>
      <c r="L67" s="27" t="n"/>
    </row>
    <row r="68">
      <c r="A68" s="27" t="n"/>
      <c r="B68" s="27" t="n"/>
      <c r="C68" s="27" t="n"/>
      <c r="D68" s="27" t="n"/>
      <c r="E68" s="28" t="n"/>
      <c r="F68" s="29" t="n"/>
      <c r="G68" s="29" t="n"/>
      <c r="H68" s="27" t="n"/>
      <c r="I68" s="27" t="n"/>
      <c r="J68" s="27" t="n"/>
      <c r="K68" s="27" t="n"/>
      <c r="L68" s="27" t="n"/>
    </row>
    <row r="69">
      <c r="A69" s="27" t="n"/>
      <c r="B69" s="27" t="n"/>
      <c r="C69" s="27" t="n"/>
      <c r="D69" s="27" t="n"/>
      <c r="E69" s="28" t="n"/>
      <c r="F69" s="29" t="n"/>
      <c r="G69" s="29" t="n"/>
      <c r="H69" s="27" t="n"/>
      <c r="I69" s="27" t="n"/>
      <c r="J69" s="27" t="n"/>
      <c r="K69" s="27" t="n"/>
      <c r="L69" s="27" t="n"/>
    </row>
    <row r="70">
      <c r="A70" s="27" t="n"/>
      <c r="B70" s="27" t="n"/>
      <c r="C70" s="27" t="n"/>
      <c r="D70" s="27" t="n"/>
      <c r="E70" s="28" t="n"/>
      <c r="F70" s="29" t="n"/>
      <c r="G70" s="29" t="n"/>
      <c r="H70" s="27" t="n"/>
      <c r="I70" s="27" t="n"/>
      <c r="J70" s="27" t="n"/>
      <c r="K70" s="27" t="n"/>
      <c r="L70" s="27" t="n"/>
    </row>
    <row r="71">
      <c r="A71" s="27" t="n"/>
      <c r="B71" s="27" t="n"/>
      <c r="C71" s="27" t="n"/>
      <c r="D71" s="27" t="n"/>
      <c r="E71" s="28" t="n"/>
      <c r="F71" s="29" t="n"/>
      <c r="G71" s="29" t="n"/>
      <c r="H71" s="27" t="n"/>
      <c r="I71" s="27" t="n"/>
      <c r="J71" s="27" t="n"/>
      <c r="K71" s="27" t="n"/>
      <c r="L71" s="27" t="n"/>
    </row>
    <row r="72">
      <c r="A72" s="27" t="n"/>
      <c r="B72" s="27" t="n"/>
      <c r="C72" s="27" t="n"/>
      <c r="D72" s="27" t="n"/>
      <c r="E72" s="28" t="n"/>
      <c r="F72" s="29" t="n"/>
      <c r="G72" s="29" t="n"/>
      <c r="H72" s="27" t="n"/>
      <c r="I72" s="27" t="n"/>
      <c r="J72" s="27" t="n"/>
      <c r="K72" s="27" t="n"/>
      <c r="L72" s="27" t="n"/>
    </row>
    <row r="73">
      <c r="A73" s="27" t="n"/>
      <c r="B73" s="27" t="n"/>
      <c r="C73" s="27" t="n"/>
      <c r="D73" s="27" t="n"/>
      <c r="E73" s="28" t="n"/>
      <c r="F73" s="29" t="n"/>
      <c r="G73" s="29" t="n"/>
      <c r="H73" s="27" t="n"/>
      <c r="I73" s="27" t="n"/>
      <c r="J73" s="27" t="n"/>
      <c r="K73" s="27" t="n"/>
      <c r="L73" s="27" t="n"/>
    </row>
    <row r="74">
      <c r="A74" s="27" t="n"/>
      <c r="B74" s="27" t="n"/>
      <c r="C74" s="27" t="n"/>
      <c r="D74" s="27" t="n"/>
      <c r="E74" s="28" t="n"/>
      <c r="F74" s="29" t="n"/>
      <c r="G74" s="29" t="n"/>
      <c r="H74" s="27" t="n"/>
      <c r="I74" s="27" t="n"/>
      <c r="J74" s="27" t="n"/>
      <c r="K74" s="27" t="n"/>
      <c r="L74" s="27" t="n"/>
    </row>
    <row r="75">
      <c r="A75" s="27" t="n"/>
      <c r="B75" s="27" t="n"/>
      <c r="C75" s="27" t="n"/>
      <c r="D75" s="27" t="n"/>
      <c r="E75" s="28" t="n"/>
      <c r="F75" s="29" t="n"/>
      <c r="G75" s="29" t="n"/>
      <c r="H75" s="27" t="n"/>
      <c r="I75" s="27" t="n"/>
      <c r="J75" s="27" t="n"/>
      <c r="K75" s="27" t="n"/>
      <c r="L75" s="27" t="n"/>
    </row>
    <row r="76">
      <c r="A76" s="27" t="n"/>
      <c r="B76" s="27" t="n"/>
      <c r="C76" s="27" t="n"/>
      <c r="D76" s="27" t="n"/>
      <c r="E76" s="28" t="n"/>
      <c r="F76" s="29" t="n"/>
      <c r="G76" s="29" t="n"/>
      <c r="H76" s="27" t="n"/>
      <c r="I76" s="27" t="n"/>
      <c r="J76" s="27" t="n"/>
      <c r="K76" s="27" t="n"/>
      <c r="L76" s="27" t="n"/>
    </row>
    <row r="77">
      <c r="A77" s="27" t="n"/>
      <c r="B77" s="27" t="n"/>
      <c r="C77" s="27" t="n"/>
      <c r="D77" s="27" t="n"/>
      <c r="E77" s="28" t="n"/>
      <c r="F77" s="29" t="n"/>
      <c r="G77" s="29" t="n"/>
      <c r="H77" s="27" t="n"/>
      <c r="I77" s="27" t="n"/>
      <c r="J77" s="27" t="n"/>
      <c r="K77" s="27" t="n"/>
      <c r="L77" s="27" t="n"/>
    </row>
    <row r="78">
      <c r="A78" s="27" t="n"/>
      <c r="B78" s="27" t="n"/>
      <c r="C78" s="27" t="n"/>
      <c r="D78" s="27" t="n"/>
      <c r="E78" s="28" t="n"/>
      <c r="F78" s="29" t="n"/>
      <c r="G78" s="29" t="n"/>
      <c r="H78" s="27" t="n"/>
      <c r="I78" s="27" t="n"/>
      <c r="J78" s="27" t="n"/>
      <c r="K78" s="27" t="n"/>
      <c r="L78" s="27" t="n"/>
    </row>
    <row r="79">
      <c r="A79" s="27" t="n"/>
      <c r="B79" s="27" t="n"/>
      <c r="C79" s="27" t="n"/>
      <c r="D79" s="27" t="n"/>
      <c r="E79" s="28" t="n"/>
      <c r="F79" s="29" t="n"/>
      <c r="G79" s="29" t="n"/>
      <c r="H79" s="27" t="n"/>
      <c r="I79" s="27" t="n"/>
      <c r="J79" s="27" t="n"/>
      <c r="K79" s="27" t="n"/>
      <c r="L79" s="27" t="n"/>
    </row>
    <row r="80">
      <c r="A80" s="27" t="n"/>
      <c r="B80" s="27" t="n"/>
      <c r="C80" s="27" t="n"/>
      <c r="D80" s="27" t="n"/>
      <c r="E80" s="28" t="n"/>
      <c r="F80" s="29" t="n"/>
      <c r="G80" s="29" t="n"/>
      <c r="H80" s="27" t="n"/>
      <c r="I80" s="27" t="n"/>
      <c r="J80" s="27" t="n"/>
      <c r="K80" s="27" t="n"/>
      <c r="L80" s="27" t="n"/>
    </row>
    <row r="81">
      <c r="A81" s="27" t="n"/>
      <c r="B81" s="27" t="n"/>
      <c r="C81" s="27" t="n"/>
      <c r="D81" s="27" t="n"/>
      <c r="E81" s="28" t="n"/>
      <c r="F81" s="29" t="n"/>
      <c r="G81" s="29" t="n"/>
      <c r="H81" s="27" t="n"/>
      <c r="I81" s="27" t="n"/>
      <c r="J81" s="27" t="n"/>
      <c r="K81" s="27" t="n"/>
      <c r="L81" s="27" t="n"/>
    </row>
    <row r="82">
      <c r="A82" s="27" t="n"/>
      <c r="B82" s="27" t="n"/>
      <c r="C82" s="27" t="n"/>
      <c r="D82" s="27" t="n"/>
      <c r="E82" s="28" t="n"/>
      <c r="F82" s="29" t="n"/>
      <c r="G82" s="29" t="n"/>
      <c r="H82" s="27" t="n"/>
      <c r="I82" s="27" t="n"/>
      <c r="J82" s="27" t="n"/>
      <c r="K82" s="27" t="n"/>
      <c r="L82" s="27" t="n"/>
    </row>
    <row r="83">
      <c r="A83" s="27" t="n"/>
      <c r="B83" s="27" t="n"/>
      <c r="C83" s="27" t="n"/>
      <c r="D83" s="27" t="n"/>
      <c r="E83" s="28" t="n"/>
      <c r="F83" s="29" t="n"/>
      <c r="G83" s="29" t="n"/>
      <c r="H83" s="27" t="n"/>
      <c r="I83" s="27" t="n"/>
      <c r="J83" s="27" t="n"/>
      <c r="K83" s="27" t="n"/>
      <c r="L83" s="27" t="n"/>
    </row>
    <row r="84">
      <c r="A84" s="27" t="n"/>
      <c r="B84" s="27" t="n"/>
      <c r="C84" s="27" t="n"/>
      <c r="D84" s="27" t="n"/>
      <c r="E84" s="28" t="n"/>
      <c r="F84" s="29" t="n"/>
      <c r="G84" s="29" t="n"/>
      <c r="H84" s="27" t="n"/>
      <c r="I84" s="27" t="n"/>
      <c r="J84" s="27" t="n"/>
      <c r="K84" s="27" t="n"/>
      <c r="L84" s="27" t="n"/>
    </row>
    <row r="85">
      <c r="A85" s="27" t="n"/>
      <c r="B85" s="27" t="n"/>
      <c r="C85" s="27" t="n"/>
      <c r="D85" s="27" t="n"/>
      <c r="E85" s="28" t="n"/>
      <c r="F85" s="29" t="n"/>
      <c r="G85" s="29" t="n"/>
      <c r="H85" s="27" t="n"/>
      <c r="I85" s="27" t="n"/>
      <c r="J85" s="27" t="n"/>
      <c r="K85" s="27" t="n"/>
      <c r="L85" s="27" t="n"/>
    </row>
    <row r="86">
      <c r="A86" s="27" t="n"/>
      <c r="B86" s="27" t="n"/>
      <c r="C86" s="27" t="n"/>
      <c r="D86" s="27" t="n"/>
      <c r="E86" s="28" t="n"/>
      <c r="F86" s="29" t="n"/>
      <c r="G86" s="29" t="n"/>
      <c r="H86" s="27" t="n"/>
      <c r="I86" s="27" t="n"/>
      <c r="J86" s="27" t="n"/>
      <c r="K86" s="27" t="n"/>
      <c r="L86" s="27" t="n"/>
    </row>
    <row r="87">
      <c r="A87" s="27" t="n"/>
      <c r="B87" s="27" t="n"/>
      <c r="C87" s="27" t="n"/>
      <c r="D87" s="27" t="n"/>
      <c r="E87" s="28" t="n"/>
      <c r="F87" s="29" t="n"/>
      <c r="G87" s="29" t="n"/>
      <c r="H87" s="27" t="n"/>
      <c r="I87" s="27" t="n"/>
      <c r="J87" s="27" t="n"/>
      <c r="K87" s="27" t="n"/>
      <c r="L87" s="27" t="n"/>
    </row>
    <row r="88">
      <c r="A88" s="27" t="n"/>
      <c r="B88" s="27" t="n"/>
      <c r="C88" s="27" t="n"/>
      <c r="D88" s="27" t="n"/>
      <c r="E88" s="28" t="n"/>
      <c r="F88" s="29" t="n"/>
      <c r="G88" s="29" t="n"/>
      <c r="H88" s="27" t="n"/>
      <c r="I88" s="27" t="n"/>
      <c r="J88" s="27" t="n"/>
      <c r="K88" s="27" t="n"/>
      <c r="L88" s="27" t="n"/>
    </row>
    <row r="89">
      <c r="A89" s="27" t="n"/>
      <c r="B89" s="27" t="n"/>
      <c r="C89" s="27" t="n"/>
      <c r="D89" s="27" t="n"/>
      <c r="E89" s="28" t="n"/>
      <c r="F89" s="29" t="n"/>
      <c r="G89" s="29" t="n"/>
      <c r="H89" s="27" t="n"/>
      <c r="I89" s="27" t="n"/>
      <c r="J89" s="27" t="n"/>
      <c r="K89" s="27" t="n"/>
      <c r="L89" s="27" t="n"/>
    </row>
    <row r="90">
      <c r="A90" s="27" t="n"/>
      <c r="B90" s="27" t="n"/>
      <c r="C90" s="27" t="n"/>
      <c r="D90" s="27" t="n"/>
      <c r="E90" s="28" t="n"/>
      <c r="F90" s="29" t="n"/>
      <c r="G90" s="29" t="n"/>
      <c r="H90" s="27" t="n"/>
      <c r="I90" s="27" t="n"/>
      <c r="J90" s="27" t="n"/>
      <c r="K90" s="27" t="n"/>
      <c r="L90" s="27" t="n"/>
    </row>
    <row r="91">
      <c r="A91" s="27" t="n"/>
      <c r="B91" s="27" t="n"/>
      <c r="C91" s="27" t="n"/>
      <c r="D91" s="27" t="n"/>
      <c r="E91" s="28" t="n"/>
      <c r="F91" s="29" t="n"/>
      <c r="G91" s="29" t="n"/>
      <c r="H91" s="27" t="n"/>
      <c r="I91" s="27" t="n"/>
      <c r="J91" s="27" t="n"/>
      <c r="K91" s="27" t="n"/>
      <c r="L91" s="27" t="n"/>
    </row>
    <row r="92">
      <c r="A92" s="27" t="n"/>
      <c r="B92" s="27" t="n"/>
      <c r="C92" s="27" t="n"/>
      <c r="D92" s="27" t="n"/>
      <c r="E92" s="28" t="n"/>
      <c r="F92" s="29" t="n"/>
      <c r="G92" s="29" t="n"/>
      <c r="H92" s="27" t="n"/>
      <c r="I92" s="27" t="n"/>
      <c r="J92" s="27" t="n"/>
      <c r="K92" s="27" t="n"/>
      <c r="L92" s="27" t="n"/>
    </row>
    <row r="93">
      <c r="A93" s="27" t="n"/>
      <c r="B93" s="27" t="n"/>
      <c r="C93" s="27" t="n"/>
      <c r="D93" s="27" t="n"/>
      <c r="E93" s="28" t="n"/>
      <c r="F93" s="29" t="n"/>
      <c r="G93" s="29" t="n"/>
      <c r="H93" s="27" t="n"/>
      <c r="I93" s="27" t="n"/>
      <c r="J93" s="27" t="n"/>
      <c r="K93" s="27" t="n"/>
      <c r="L93" s="27" t="n"/>
    </row>
    <row r="94">
      <c r="A94" s="27" t="n"/>
      <c r="B94" s="27" t="n"/>
      <c r="C94" s="27" t="n"/>
      <c r="D94" s="27" t="n"/>
      <c r="E94" s="28" t="n"/>
      <c r="F94" s="29" t="n"/>
      <c r="G94" s="29" t="n"/>
      <c r="H94" s="27" t="n"/>
      <c r="I94" s="27" t="n"/>
      <c r="J94" s="27" t="n"/>
      <c r="K94" s="27" t="n"/>
      <c r="L94" s="27" t="n"/>
    </row>
    <row r="95">
      <c r="A95" s="27" t="n"/>
      <c r="B95" s="27" t="n"/>
      <c r="C95" s="27" t="n"/>
      <c r="D95" s="27" t="n"/>
      <c r="E95" s="28" t="n"/>
      <c r="F95" s="29" t="n"/>
      <c r="G95" s="29" t="n"/>
      <c r="H95" s="27" t="n"/>
      <c r="I95" s="27" t="n"/>
      <c r="J95" s="27" t="n"/>
      <c r="K95" s="27" t="n"/>
      <c r="L95" s="27" t="n"/>
    </row>
    <row r="96">
      <c r="A96" s="27" t="n"/>
      <c r="B96" s="27" t="n"/>
      <c r="C96" s="27" t="n"/>
      <c r="D96" s="27" t="n"/>
      <c r="E96" s="28" t="n"/>
      <c r="F96" s="29" t="n"/>
      <c r="G96" s="29" t="n"/>
      <c r="H96" s="27" t="n"/>
      <c r="I96" s="27" t="n"/>
      <c r="J96" s="27" t="n"/>
      <c r="K96" s="27" t="n"/>
      <c r="L96" s="27" t="n"/>
    </row>
    <row r="97">
      <c r="A97" s="27" t="n"/>
      <c r="B97" s="27" t="n"/>
      <c r="C97" s="27" t="n"/>
      <c r="D97" s="27" t="n"/>
      <c r="E97" s="28" t="n"/>
      <c r="F97" s="29" t="n"/>
      <c r="G97" s="29" t="n"/>
      <c r="H97" s="27" t="n"/>
      <c r="I97" s="27" t="n"/>
      <c r="J97" s="27" t="n"/>
      <c r="K97" s="27" t="n"/>
      <c r="L97" s="27" t="n"/>
    </row>
    <row r="98">
      <c r="A98" s="27" t="n"/>
      <c r="B98" s="27" t="n"/>
      <c r="C98" s="27" t="n"/>
      <c r="D98" s="27" t="n"/>
      <c r="E98" s="28" t="n"/>
      <c r="F98" s="29" t="n"/>
      <c r="G98" s="29" t="n"/>
      <c r="H98" s="27" t="n"/>
      <c r="I98" s="27" t="n"/>
      <c r="J98" s="27" t="n"/>
      <c r="K98" s="27" t="n"/>
      <c r="L98" s="27" t="n"/>
    </row>
    <row r="99">
      <c r="A99" s="27" t="n"/>
      <c r="B99" s="27" t="n"/>
      <c r="C99" s="27" t="n"/>
      <c r="D99" s="27" t="n"/>
      <c r="E99" s="28" t="n"/>
      <c r="F99" s="29" t="n"/>
      <c r="G99" s="29" t="n"/>
      <c r="H99" s="27" t="n"/>
      <c r="I99" s="27" t="n"/>
      <c r="J99" s="27" t="n"/>
      <c r="K99" s="27" t="n"/>
      <c r="L99" s="27" t="n"/>
    </row>
    <row r="100">
      <c r="A100" s="27" t="n"/>
      <c r="B100" s="27" t="n"/>
      <c r="C100" s="27" t="n"/>
      <c r="D100" s="27" t="n"/>
      <c r="E100" s="28" t="n"/>
      <c r="F100" s="29" t="n"/>
      <c r="G100" s="29" t="n"/>
      <c r="H100" s="27" t="n"/>
      <c r="I100" s="27" t="n"/>
      <c r="J100" s="27" t="n"/>
      <c r="K100" s="27" t="n"/>
      <c r="L100" s="27" t="n"/>
    </row>
    <row r="101">
      <c r="A101" s="27" t="n"/>
      <c r="B101" s="27" t="n"/>
      <c r="C101" s="27" t="n"/>
      <c r="D101" s="27" t="n"/>
      <c r="E101" s="28" t="n"/>
      <c r="F101" s="29" t="n"/>
      <c r="G101" s="29" t="n"/>
      <c r="H101" s="27" t="n"/>
      <c r="I101" s="27" t="n"/>
      <c r="J101" s="27" t="n"/>
      <c r="K101" s="27" t="n"/>
      <c r="L101" s="27" t="n"/>
    </row>
    <row r="102">
      <c r="A102" s="27" t="n"/>
      <c r="B102" s="27" t="n"/>
      <c r="C102" s="27" t="n"/>
      <c r="D102" s="27" t="n"/>
      <c r="E102" s="28" t="n"/>
      <c r="F102" s="29" t="n"/>
      <c r="G102" s="29" t="n"/>
      <c r="H102" s="27" t="n"/>
      <c r="I102" s="27" t="n"/>
      <c r="J102" s="27" t="n"/>
      <c r="K102" s="27" t="n"/>
      <c r="L102" s="27" t="n"/>
    </row>
    <row r="103">
      <c r="A103" s="27" t="n"/>
      <c r="B103" s="27" t="n"/>
      <c r="C103" s="27" t="n"/>
      <c r="D103" s="27" t="n"/>
      <c r="E103" s="28" t="n"/>
      <c r="F103" s="29" t="n"/>
      <c r="G103" s="29" t="n"/>
      <c r="H103" s="27" t="n"/>
      <c r="I103" s="27" t="n"/>
      <c r="J103" s="27" t="n"/>
      <c r="K103" s="27" t="n"/>
      <c r="L103" s="27" t="n"/>
    </row>
    <row r="104">
      <c r="A104" s="27" t="n"/>
      <c r="B104" s="27" t="n"/>
      <c r="C104" s="27" t="n"/>
      <c r="D104" s="27" t="n"/>
      <c r="E104" s="28" t="n"/>
      <c r="F104" s="29" t="n"/>
      <c r="G104" s="29" t="n"/>
      <c r="H104" s="27" t="n"/>
      <c r="I104" s="27" t="n"/>
      <c r="J104" s="27" t="n"/>
      <c r="K104" s="27" t="n"/>
      <c r="L104" s="27" t="n"/>
    </row>
    <row r="105">
      <c r="A105" s="27" t="n"/>
      <c r="B105" s="27" t="n"/>
      <c r="C105" s="27" t="n"/>
      <c r="D105" s="27" t="n"/>
      <c r="E105" s="28" t="n"/>
      <c r="F105" s="29" t="n"/>
      <c r="G105" s="29" t="n"/>
      <c r="H105" s="27" t="n"/>
      <c r="I105" s="27" t="n"/>
      <c r="J105" s="27" t="n"/>
      <c r="K105" s="27" t="n"/>
      <c r="L105" s="27" t="n"/>
    </row>
    <row r="106">
      <c r="A106" s="27" t="n"/>
      <c r="B106" s="27" t="n"/>
      <c r="C106" s="27" t="n"/>
      <c r="D106" s="27" t="n"/>
      <c r="E106" s="28" t="n"/>
      <c r="F106" s="29" t="n"/>
      <c r="G106" s="29" t="n"/>
      <c r="H106" s="27" t="n"/>
      <c r="I106" s="27" t="n"/>
      <c r="J106" s="27" t="n"/>
      <c r="K106" s="27" t="n"/>
      <c r="L106" s="27" t="n"/>
    </row>
    <row r="107">
      <c r="A107" s="27" t="n"/>
      <c r="B107" s="27" t="n"/>
      <c r="C107" s="27" t="n"/>
      <c r="D107" s="27" t="n"/>
      <c r="E107" s="28" t="n"/>
      <c r="F107" s="29" t="n"/>
      <c r="G107" s="29" t="n"/>
      <c r="H107" s="27" t="n"/>
      <c r="I107" s="27" t="n"/>
      <c r="J107" s="27" t="n"/>
      <c r="K107" s="27" t="n"/>
      <c r="L107" s="27" t="n"/>
    </row>
    <row r="108">
      <c r="A108" s="27" t="n"/>
      <c r="B108" s="27" t="n"/>
      <c r="C108" s="27" t="n"/>
      <c r="D108" s="27" t="n"/>
      <c r="E108" s="28" t="n"/>
      <c r="F108" s="29" t="n"/>
      <c r="G108" s="29" t="n"/>
      <c r="H108" s="27" t="n"/>
      <c r="I108" s="27" t="n"/>
      <c r="J108" s="27" t="n"/>
      <c r="K108" s="27" t="n"/>
      <c r="L108" s="27" t="n"/>
    </row>
    <row r="109">
      <c r="A109" s="27" t="n"/>
      <c r="B109" s="27" t="n"/>
      <c r="C109" s="27" t="n"/>
      <c r="D109" s="27" t="n"/>
      <c r="E109" s="28" t="n"/>
      <c r="F109" s="29" t="n"/>
      <c r="G109" s="29" t="n"/>
      <c r="H109" s="27" t="n"/>
      <c r="I109" s="27" t="n"/>
      <c r="J109" s="27" t="n"/>
      <c r="K109" s="27" t="n"/>
      <c r="L109" s="27" t="n"/>
    </row>
    <row r="110">
      <c r="A110" s="27" t="n"/>
      <c r="B110" s="27" t="n"/>
      <c r="C110" s="27" t="n"/>
      <c r="D110" s="27" t="n"/>
      <c r="E110" s="28" t="n"/>
      <c r="F110" s="29" t="n"/>
      <c r="G110" s="29" t="n"/>
      <c r="H110" s="27" t="n"/>
      <c r="I110" s="27" t="n"/>
      <c r="J110" s="27" t="n"/>
      <c r="K110" s="27" t="n"/>
      <c r="L110" s="27" t="n"/>
    </row>
    <row r="111">
      <c r="A111" s="27" t="n"/>
      <c r="B111" s="27" t="n"/>
      <c r="C111" s="27" t="n"/>
      <c r="D111" s="27" t="n"/>
      <c r="E111" s="28" t="n"/>
      <c r="F111" s="29" t="n"/>
      <c r="G111" s="29" t="n"/>
      <c r="H111" s="27" t="n"/>
      <c r="I111" s="27" t="n"/>
      <c r="J111" s="27" t="n"/>
      <c r="K111" s="27" t="n"/>
      <c r="L111" s="27" t="n"/>
    </row>
    <row r="112">
      <c r="A112" s="27" t="n"/>
      <c r="B112" s="27" t="n"/>
      <c r="C112" s="27" t="n"/>
      <c r="D112" s="27" t="n"/>
      <c r="E112" s="28" t="n"/>
      <c r="F112" s="29" t="n"/>
      <c r="G112" s="29" t="n"/>
      <c r="H112" s="27" t="n"/>
      <c r="I112" s="27" t="n"/>
      <c r="J112" s="27" t="n"/>
      <c r="K112" s="27" t="n"/>
      <c r="L112" s="27" t="n"/>
    </row>
    <row r="113">
      <c r="A113" s="27" t="n"/>
      <c r="B113" s="27" t="n"/>
      <c r="C113" s="27" t="n"/>
      <c r="D113" s="27" t="n"/>
      <c r="E113" s="28" t="n"/>
      <c r="F113" s="29" t="n"/>
      <c r="G113" s="29" t="n"/>
      <c r="H113" s="27" t="n"/>
      <c r="I113" s="27" t="n"/>
      <c r="J113" s="27" t="n"/>
      <c r="K113" s="27" t="n"/>
      <c r="L113" s="27" t="n"/>
    </row>
    <row r="114">
      <c r="A114" s="27" t="n"/>
      <c r="B114" s="27" t="n"/>
      <c r="C114" s="27" t="n"/>
      <c r="D114" s="27" t="n"/>
      <c r="E114" s="28" t="n"/>
      <c r="F114" s="29" t="n"/>
      <c r="G114" s="29" t="n"/>
      <c r="H114" s="27" t="n"/>
      <c r="I114" s="27" t="n"/>
      <c r="J114" s="27" t="n"/>
      <c r="K114" s="27" t="n"/>
      <c r="L114" s="27" t="n"/>
    </row>
    <row r="115">
      <c r="A115" s="27" t="n"/>
      <c r="B115" s="27" t="n"/>
      <c r="C115" s="27" t="n"/>
      <c r="D115" s="27" t="n"/>
      <c r="E115" s="28" t="n"/>
      <c r="F115" s="29" t="n"/>
      <c r="G115" s="29" t="n"/>
      <c r="H115" s="27" t="n"/>
      <c r="I115" s="27" t="n"/>
      <c r="J115" s="27" t="n"/>
      <c r="K115" s="27" t="n"/>
      <c r="L115" s="27" t="n"/>
    </row>
    <row r="116">
      <c r="A116" s="27" t="n"/>
      <c r="B116" s="27" t="n"/>
      <c r="C116" s="27" t="n"/>
      <c r="D116" s="27" t="n"/>
      <c r="E116" s="28" t="n"/>
      <c r="F116" s="29" t="n"/>
      <c r="G116" s="29" t="n"/>
      <c r="H116" s="27" t="n"/>
      <c r="I116" s="27" t="n"/>
      <c r="J116" s="27" t="n"/>
      <c r="K116" s="27" t="n"/>
      <c r="L116" s="27" t="n"/>
    </row>
    <row r="117">
      <c r="A117" s="27" t="n"/>
      <c r="B117" s="27" t="n"/>
      <c r="C117" s="27" t="n"/>
      <c r="D117" s="27" t="n"/>
      <c r="E117" s="28" t="n"/>
      <c r="F117" s="29" t="n"/>
      <c r="G117" s="29" t="n"/>
      <c r="H117" s="27" t="n"/>
      <c r="I117" s="27" t="n"/>
      <c r="J117" s="27" t="n"/>
      <c r="K117" s="27" t="n"/>
      <c r="L117" s="27" t="n"/>
    </row>
    <row r="118">
      <c r="A118" s="27" t="n"/>
      <c r="B118" s="27" t="n"/>
      <c r="C118" s="27" t="n"/>
      <c r="D118" s="27" t="n"/>
      <c r="E118" s="28" t="n"/>
      <c r="F118" s="29" t="n"/>
      <c r="G118" s="29" t="n"/>
      <c r="H118" s="27" t="n"/>
      <c r="I118" s="27" t="n"/>
      <c r="J118" s="27" t="n"/>
      <c r="K118" s="27" t="n"/>
      <c r="L118" s="27" t="n"/>
    </row>
    <row r="119">
      <c r="A119" s="27" t="n"/>
      <c r="B119" s="27" t="n"/>
      <c r="C119" s="27" t="n"/>
      <c r="D119" s="27" t="n"/>
      <c r="E119" s="28" t="n"/>
      <c r="F119" s="29" t="n"/>
      <c r="G119" s="29" t="n"/>
      <c r="H119" s="27" t="n"/>
      <c r="I119" s="27" t="n"/>
      <c r="J119" s="27" t="n"/>
      <c r="K119" s="27" t="n"/>
      <c r="L119" s="27" t="n"/>
    </row>
    <row r="120">
      <c r="A120" s="27" t="n"/>
      <c r="B120" s="27" t="n"/>
      <c r="C120" s="27" t="n"/>
      <c r="D120" s="27" t="n"/>
      <c r="E120" s="28" t="n"/>
      <c r="F120" s="29" t="n"/>
      <c r="G120" s="29" t="n"/>
      <c r="H120" s="27" t="n"/>
      <c r="I120" s="27" t="n"/>
      <c r="J120" s="27" t="n"/>
      <c r="K120" s="27" t="n"/>
      <c r="L120" s="27" t="n"/>
    </row>
  </sheetData>
  <conditionalFormatting sqref="A2:L120">
    <cfRule type="expression" priority="1" dxfId="0" stopIfTrue="0">
      <formula>AND($B2&lt;&gt;"",OR($F2="",$G2="",UPPER($F2&amp;"")="N/A",UPPER($G2&amp;"")="N/A"))</formula>
    </cfRule>
    <cfRule type="expression" priority="2" dxfId="1" stopIfTrue="0">
      <formula>AND(ISNUMBER($F2),ISNUMBER($G2),$G2&lt;$F2)</formula>
    </cfRule>
    <cfRule type="expression" priority="3" dxfId="2" stopIfTrue="0">
      <formula>UPPER($K2&amp;"")="EUR"</formula>
    </cfRule>
  </conditionalFormatting>
  <dataValidations count="3">
    <dataValidation sqref="K2:K120" showDropDown="0" showInputMessage="0" showErrorMessage="0" allowBlank="1" promptTitle="Currency" prompt="EUR = monetary item. Blank or MH = man-hours." type="list">
      <formula1>"EUR,MH"</formula1>
    </dataValidation>
    <dataValidation sqref="L2:L120" showDropDown="0" showInputMessage="0" showErrorMessage="0" allowBlank="1" promptTitle="Unit" prompt="Department or team. Blank becomes Unassigned." type="list">
      <formula1>"Program,Systems,Mechanical,Electronics,Software,Quality,Purchasing"</formula1>
    </dataValidation>
    <dataValidation sqref="D2:D120" showDropDown="0" showInputMessage="0" showErrorMessage="0" allowBlank="1" promptTitle="Stage" prompt="Pick a stage from the stages tab. Leave blank to inherit the track's stage." type="list">
      <formula1>=stages!$A$1:$A$15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3" max="3"/>
  </cols>
  <sheetData>
    <row r="1">
      <c r="A1" s="30" t="inlineStr">
        <is>
          <t>Stage 1 - Concept &amp; Requirements</t>
        </is>
      </c>
      <c r="C1" s="16" t="inlineStr">
        <is>
          <t>NO HEADER ROW on this tab: row 1 is already the first stage. The order here is the top-to-bottom order of the bands in the chart. A stage with no deliverable is simply not drawn.</t>
        </is>
      </c>
    </row>
    <row r="2">
      <c r="A2" s="30" t="inlineStr">
        <is>
          <t>Stage 2 - Design &amp; Architecture</t>
        </is>
      </c>
    </row>
    <row r="3">
      <c r="A3" s="30" t="inlineStr">
        <is>
          <t>Stage 3 - Industrialisation</t>
        </is>
      </c>
    </row>
    <row r="4">
      <c r="A4" s="30" t="inlineStr">
        <is>
          <t>Stage 4 - Validation &amp; Qualification</t>
        </is>
      </c>
    </row>
    <row r="5">
      <c r="A5" s="30" t="inlineStr">
        <is>
          <t>Stage 5 - Ramp-up &amp; Closure</t>
        </is>
      </c>
    </row>
    <row r="6">
      <c r="A6" s="31" t="n"/>
    </row>
    <row r="7">
      <c r="A7" s="31" t="n"/>
    </row>
    <row r="8">
      <c r="A8" s="31" t="n"/>
    </row>
    <row r="9">
      <c r="A9" s="31" t="n"/>
    </row>
    <row r="10">
      <c r="A10" s="31" t="n"/>
    </row>
    <row r="11">
      <c r="A11" s="31" t="n"/>
    </row>
    <row r="12">
      <c r="A12" s="31" t="n"/>
    </row>
    <row r="13">
      <c r="A13" s="31" t="n"/>
    </row>
    <row r="14">
      <c r="A14" s="31" t="n"/>
    </row>
    <row r="15">
      <c r="A15" s="31" t="n"/>
    </row>
  </sheetData>
  <mergeCells count="1">
    <mergeCell ref="C1:C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58" customWidth="1" min="4" max="4"/>
  </cols>
  <sheetData>
    <row r="1">
      <c r="A1" s="6" t="inlineStr">
        <is>
          <t>Gate</t>
        </is>
      </c>
      <c r="B1" s="6" t="inlineStr">
        <is>
          <t>Date</t>
        </is>
      </c>
    </row>
    <row r="2">
      <c r="A2" s="27" t="inlineStr">
        <is>
          <t>SR1 - Concept freeze</t>
        </is>
      </c>
      <c r="B2" s="32" t="n">
        <v>46127</v>
      </c>
      <c r="D2" s="16" t="inlineStr">
        <is>
          <t>System review gates - red dashed line. Header row in row 1, one gate per row from row 2. A gate without a name or without a readable date is ignored. Drag a gate tag in the planner (read-only off) and the date is written back here.</t>
        </is>
      </c>
    </row>
    <row r="3">
      <c r="A3" s="27" t="inlineStr">
        <is>
          <t>SR2 - Design freeze</t>
        </is>
      </c>
      <c r="B3" s="32" t="n">
        <v>46310</v>
      </c>
    </row>
    <row r="4">
      <c r="A4" s="27" t="inlineStr">
        <is>
          <t>SR3 - Industrialisation gate</t>
        </is>
      </c>
      <c r="B4" s="32" t="n">
        <v>46461</v>
      </c>
    </row>
    <row r="5">
      <c r="A5" s="27" t="inlineStr">
        <is>
          <t>SR4 - Production release</t>
        </is>
      </c>
      <c r="B5" s="32" t="n">
        <v>46675</v>
      </c>
    </row>
    <row r="6">
      <c r="A6" s="33" t="n"/>
      <c r="B6" s="34" t="n"/>
    </row>
    <row r="7">
      <c r="A7" s="33" t="n"/>
      <c r="B7" s="34" t="n"/>
    </row>
    <row r="8">
      <c r="A8" s="33" t="n"/>
      <c r="B8" s="34" t="n"/>
    </row>
    <row r="9">
      <c r="A9" s="33" t="n"/>
      <c r="B9" s="34" t="n"/>
    </row>
    <row r="10">
      <c r="A10" s="33" t="n"/>
      <c r="B10" s="34" t="n"/>
    </row>
    <row r="11">
      <c r="A11" s="33" t="n"/>
      <c r="B11" s="34" t="n"/>
    </row>
    <row r="12">
      <c r="A12" s="33" t="n"/>
      <c r="B12" s="34" t="n"/>
    </row>
    <row r="13">
      <c r="A13" s="33" t="n"/>
      <c r="B13" s="34" t="n"/>
    </row>
    <row r="14">
      <c r="A14" s="33" t="n"/>
      <c r="B14" s="34" t="n"/>
    </row>
    <row r="15">
      <c r="A15" s="33" t="n"/>
      <c r="B15" s="34" t="n"/>
    </row>
  </sheetData>
  <mergeCells count="1">
    <mergeCell ref="D2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58" customWidth="1" min="4" max="4"/>
  </cols>
  <sheetData>
    <row r="1">
      <c r="A1" s="6" t="inlineStr">
        <is>
          <t>Gate</t>
        </is>
      </c>
      <c r="B1" s="6" t="inlineStr">
        <is>
          <t>Date</t>
        </is>
      </c>
    </row>
    <row r="2">
      <c r="A2" s="27" t="inlineStr">
        <is>
          <t>HC-R1 - Requirements review</t>
        </is>
      </c>
      <c r="B2" s="32" t="n">
        <v>46097</v>
      </c>
      <c r="D2" s="16" t="inlineStr">
        <is>
          <t>H/C review gates - purple dashed line with an H/C badge. Header row in row 1, one gate per row from row 2. A gate without a name or without a readable date is ignored. Drag a gate tag in the planner (read-only off) and the date is written back here.</t>
        </is>
      </c>
    </row>
    <row r="3">
      <c r="A3" s="27" t="inlineStr">
        <is>
          <t>HC-R2 - Preliminary design review</t>
        </is>
      </c>
      <c r="B3" s="32" t="n">
        <v>46218</v>
      </c>
    </row>
    <row r="4">
      <c r="A4" s="27" t="inlineStr">
        <is>
          <t>HC-R3 - Critical design review</t>
        </is>
      </c>
      <c r="B4" s="32" t="n">
        <v>46342</v>
      </c>
    </row>
    <row r="5">
      <c r="A5" s="27" t="inlineStr">
        <is>
          <t>HC-R4 - Test readiness review</t>
        </is>
      </c>
      <c r="B5" s="32" t="n">
        <v>46521</v>
      </c>
    </row>
    <row r="6">
      <c r="A6" s="33" t="n"/>
      <c r="B6" s="34" t="n"/>
    </row>
    <row r="7">
      <c r="A7" s="33" t="n"/>
      <c r="B7" s="34" t="n"/>
    </row>
    <row r="8">
      <c r="A8" s="33" t="n"/>
      <c r="B8" s="34" t="n"/>
    </row>
    <row r="9">
      <c r="A9" s="33" t="n"/>
      <c r="B9" s="34" t="n"/>
    </row>
    <row r="10">
      <c r="A10" s="33" t="n"/>
      <c r="B10" s="34" t="n"/>
    </row>
    <row r="11">
      <c r="A11" s="33" t="n"/>
      <c r="B11" s="34" t="n"/>
    </row>
    <row r="12">
      <c r="A12" s="33" t="n"/>
      <c r="B12" s="34" t="n"/>
    </row>
    <row r="13">
      <c r="A13" s="33" t="n"/>
      <c r="B13" s="34" t="n"/>
    </row>
    <row r="14">
      <c r="A14" s="33" t="n"/>
      <c r="B14" s="34" t="n"/>
    </row>
    <row r="15">
      <c r="A15" s="33" t="n"/>
      <c r="B15" s="34" t="n"/>
    </row>
  </sheetData>
  <mergeCells count="1">
    <mergeCell ref="D2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58" customWidth="1" min="4" max="4"/>
  </cols>
  <sheetData>
    <row r="1">
      <c r="A1" s="6" t="inlineStr">
        <is>
          <t>Gate</t>
        </is>
      </c>
      <c r="B1" s="6" t="inlineStr">
        <is>
          <t>Date</t>
        </is>
      </c>
    </row>
    <row r="2">
      <c r="A2" s="27" t="inlineStr">
        <is>
          <t>MG1 - Maturity level 1</t>
        </is>
      </c>
      <c r="B2" s="32" t="n">
        <v>46188</v>
      </c>
      <c r="D2" s="16" t="inlineStr">
        <is>
          <t>H/C maturity gates - orange dotted line with an H/C badge. Header row in row 1, one gate per row from row 2. A gate without a name or without a readable date is ignored. Drag a gate tag in the planner (read-only off) and the date is written back here.</t>
        </is>
      </c>
    </row>
    <row r="3">
      <c r="A3" s="27" t="inlineStr">
        <is>
          <t>MG2 - Maturity level 2</t>
        </is>
      </c>
      <c r="B3" s="32" t="n">
        <v>46371</v>
      </c>
    </row>
    <row r="4">
      <c r="A4" s="27" t="inlineStr">
        <is>
          <t>MG3 - Maturity level 3</t>
        </is>
      </c>
      <c r="B4" s="32" t="n">
        <v>46553</v>
      </c>
    </row>
    <row r="5">
      <c r="A5" s="27" t="inlineStr">
        <is>
          <t>MG4 - Maturity level 4</t>
        </is>
      </c>
      <c r="B5" s="32" t="n">
        <v>46706</v>
      </c>
    </row>
    <row r="6">
      <c r="A6" s="33" t="n"/>
      <c r="B6" s="34" t="n"/>
    </row>
    <row r="7">
      <c r="A7" s="33" t="n"/>
      <c r="B7" s="34" t="n"/>
    </row>
    <row r="8">
      <c r="A8" s="33" t="n"/>
      <c r="B8" s="34" t="n"/>
    </row>
    <row r="9">
      <c r="A9" s="33" t="n"/>
      <c r="B9" s="34" t="n"/>
    </row>
    <row r="10">
      <c r="A10" s="33" t="n"/>
      <c r="B10" s="34" t="n"/>
    </row>
    <row r="11">
      <c r="A11" s="33" t="n"/>
      <c r="B11" s="34" t="n"/>
    </row>
    <row r="12">
      <c r="A12" s="33" t="n"/>
      <c r="B12" s="34" t="n"/>
    </row>
    <row r="13">
      <c r="A13" s="33" t="n"/>
      <c r="B13" s="34" t="n"/>
    </row>
    <row r="14">
      <c r="A14" s="33" t="n"/>
      <c r="B14" s="34" t="n"/>
    </row>
    <row r="15">
      <c r="A15" s="33" t="n"/>
      <c r="B15" s="34" t="n"/>
    </row>
  </sheetData>
  <mergeCells count="1">
    <mergeCell ref="D2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70" customWidth="1" min="6" max="6"/>
  </cols>
  <sheetData>
    <row r="1">
      <c r="A1" s="6" t="inlineStr">
        <is>
          <t>Unit</t>
        </is>
      </c>
      <c r="B1" s="6" t="inlineStr">
        <is>
          <t>From</t>
        </is>
      </c>
      <c r="C1" s="6" t="inlineStr">
        <is>
          <t>To</t>
        </is>
      </c>
      <c r="D1" s="6" t="inlineStr">
        <is>
          <t>FTE</t>
        </is>
      </c>
    </row>
    <row r="2">
      <c r="A2" s="30" t="inlineStr">
        <is>
          <t>Program</t>
        </is>
      </c>
      <c r="B2" s="35" t="n">
        <v>46023</v>
      </c>
      <c r="C2" s="35" t="n">
        <v>46752</v>
      </c>
      <c r="D2" s="36" t="n">
        <v>2.5</v>
      </c>
      <c r="F2" s="16" t="inlineStr">
        <is>
          <t>OPTIONAL TAB. How many people each unit actually has, as periods rather than a month grid: a ramp-up is one row, not twelve. Rows for the same unit ADD UP - see Mechanical, which gets half an extra FTE from mid-2026, a contractor. The planner compares this with the effort your plan demands and flags the months where a unit is short. Delete the tab and the feature simply switches off. Only man-hour deliverables create demand: a line in EUR buys an outcome, it does not occupy anyone.</t>
        </is>
      </c>
    </row>
    <row r="3">
      <c r="A3" s="30" t="inlineStr">
        <is>
          <t>Systems</t>
        </is>
      </c>
      <c r="B3" s="35" t="n">
        <v>46023</v>
      </c>
      <c r="C3" s="35" t="n">
        <v>46752</v>
      </c>
      <c r="D3" s="36" t="n">
        <v>2.5</v>
      </c>
    </row>
    <row r="4">
      <c r="A4" s="30" t="inlineStr">
        <is>
          <t>Mechanical</t>
        </is>
      </c>
      <c r="B4" s="35" t="n">
        <v>46023</v>
      </c>
      <c r="C4" s="35" t="n">
        <v>46752</v>
      </c>
      <c r="D4" s="36" t="n">
        <v>2.5</v>
      </c>
    </row>
    <row r="5">
      <c r="A5" s="30" t="inlineStr">
        <is>
          <t>Electronics</t>
        </is>
      </c>
      <c r="B5" s="35" t="n">
        <v>46023</v>
      </c>
      <c r="C5" s="35" t="n">
        <v>46752</v>
      </c>
      <c r="D5" s="36" t="n">
        <v>1.5</v>
      </c>
    </row>
    <row r="6">
      <c r="A6" s="30" t="inlineStr">
        <is>
          <t>Software</t>
        </is>
      </c>
      <c r="B6" s="35" t="n">
        <v>46023</v>
      </c>
      <c r="C6" s="35" t="n">
        <v>46752</v>
      </c>
      <c r="D6" s="36" t="n">
        <v>1.5</v>
      </c>
    </row>
    <row r="7">
      <c r="A7" s="30" t="inlineStr">
        <is>
          <t>Software</t>
        </is>
      </c>
      <c r="B7" s="35" t="n">
        <v>46174</v>
      </c>
      <c r="C7" s="35" t="n">
        <v>46752</v>
      </c>
      <c r="D7" s="36" t="n">
        <v>0.5</v>
      </c>
    </row>
    <row r="8">
      <c r="A8" s="30" t="inlineStr">
        <is>
          <t>Quality</t>
        </is>
      </c>
      <c r="B8" s="35" t="n">
        <v>46023</v>
      </c>
      <c r="C8" s="35" t="n">
        <v>46752</v>
      </c>
      <c r="D8" s="36" t="n">
        <v>1.5</v>
      </c>
    </row>
    <row r="9">
      <c r="A9" s="30" t="inlineStr">
        <is>
          <t>Purchasing</t>
        </is>
      </c>
      <c r="B9" s="35" t="n">
        <v>46023</v>
      </c>
      <c r="C9" s="35" t="n">
        <v>46752</v>
      </c>
      <c r="D9" s="36" t="n">
        <v>1</v>
      </c>
    </row>
    <row r="10">
      <c r="A10" s="37" t="n"/>
      <c r="B10" s="38" t="n"/>
      <c r="C10" s="38" t="n"/>
      <c r="D10" s="37" t="n"/>
    </row>
    <row r="11">
      <c r="A11" s="37" t="n"/>
      <c r="B11" s="38" t="n"/>
      <c r="C11" s="38" t="n"/>
      <c r="D11" s="37" t="n"/>
    </row>
    <row r="12">
      <c r="A12" s="37" t="n"/>
      <c r="B12" s="38" t="n"/>
      <c r="C12" s="38" t="n"/>
      <c r="D12" s="37" t="n"/>
    </row>
    <row r="13">
      <c r="A13" s="37" t="n"/>
      <c r="B13" s="38" t="n"/>
      <c r="C13" s="38" t="n"/>
      <c r="D13" s="37" t="n"/>
    </row>
    <row r="14">
      <c r="A14" s="37" t="n"/>
      <c r="B14" s="38" t="n"/>
      <c r="C14" s="38" t="n"/>
      <c r="D14" s="37" t="n"/>
    </row>
    <row r="15">
      <c r="A15" s="37" t="n"/>
      <c r="B15" s="38" t="n"/>
      <c r="C15" s="38" t="n"/>
      <c r="D15" s="37" t="n"/>
    </row>
    <row r="16">
      <c r="A16" s="37" t="n"/>
      <c r="B16" s="38" t="n"/>
      <c r="C16" s="38" t="n"/>
      <c r="D16" s="37" t="n"/>
    </row>
    <row r="17">
      <c r="A17" s="37" t="n"/>
      <c r="B17" s="38" t="n"/>
      <c r="C17" s="38" t="n"/>
      <c r="D17" s="37" t="n"/>
    </row>
    <row r="18">
      <c r="A18" s="37" t="n"/>
      <c r="B18" s="38" t="n"/>
      <c r="C18" s="38" t="n"/>
      <c r="D18" s="37" t="n"/>
    </row>
    <row r="19">
      <c r="A19" s="37" t="n"/>
      <c r="B19" s="38" t="n"/>
      <c r="C19" s="38" t="n"/>
      <c r="D19" s="37" t="n"/>
    </row>
    <row r="20">
      <c r="A20" s="37" t="n"/>
      <c r="B20" s="38" t="n"/>
      <c r="C20" s="38" t="n"/>
      <c r="D20" s="37" t="n"/>
    </row>
    <row r="21">
      <c r="A21" s="37" t="n"/>
      <c r="B21" s="38" t="n"/>
      <c r="C21" s="38" t="n"/>
      <c r="D21" s="37" t="n"/>
    </row>
  </sheetData>
  <mergeCells count="1">
    <mergeCell ref="F2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3" customWidth="1" min="7" max="7"/>
    <col width="70" customWidth="1" min="9" max="9"/>
  </cols>
  <sheetData>
    <row r="1">
      <c r="A1" s="6" t="inlineStr">
        <is>
          <t>Plan row</t>
        </is>
      </c>
      <c r="B1" s="6" t="inlineStr">
        <is>
          <t>Track</t>
        </is>
      </c>
      <c r="C1" s="6" t="inlineStr">
        <is>
          <t>Title</t>
        </is>
      </c>
      <c r="D1" s="6" t="inlineStr">
        <is>
          <t>Start</t>
        </is>
      </c>
      <c r="E1" s="6" t="inlineStr">
        <is>
          <t>End</t>
        </is>
      </c>
      <c r="F1" s="6" t="inlineStr">
        <is>
          <t>Amount</t>
        </is>
      </c>
      <c r="G1" s="6" t="inlineStr">
        <is>
          <t>Captured at</t>
        </is>
      </c>
    </row>
    <row r="2">
      <c r="I2" s="16" t="inlineStr">
        <is>
          <t>OPTIONAL TAB, WRITTEN BY THE TOOL - do not fill it in by hand. Press “Capture baseline” in the planner's Drift view and today's dates and amounts are frozen here. From then on every bar shows a hollow ghost where it used to sit, and the Drift view lists what slipped, by how many days, and how much effort was added or removed. Re-capturing overwrites it; clearing empties it. Leave the tab out entirely and the planner just creates it when you first capture.</t>
        </is>
      </c>
    </row>
    <row r="3"/>
    <row r="4"/>
    <row r="5"/>
    <row r="6"/>
    <row r="7"/>
    <row r="8"/>
    <row r="9"/>
  </sheetData>
  <mergeCells count="1">
    <mergeCell ref="I2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2026-09-24T15:03:20Z</dcterms:created>
  <dcterms:modified xsi:type="dcterms:W3CDTF">2026-09-24T15:03:20Z</dcterms:modified>
</cp:coreProperties>
</file>